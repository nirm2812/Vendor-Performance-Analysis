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nirma\Downloads\"/>
    </mc:Choice>
  </mc:AlternateContent>
  <xr:revisionPtr revIDLastSave="0" documentId="13_ncr:1_{DCD479A4-CD7F-439B-935D-3ADEFFF45300}" xr6:coauthVersionLast="47" xr6:coauthVersionMax="47" xr10:uidLastSave="{00000000-0000-0000-0000-000000000000}"/>
  <bookViews>
    <workbookView xWindow="-98" yWindow="-98" windowWidth="17115" windowHeight="10755" tabRatio="641" firstSheet="7" activeTab="10" xr2:uid="{045B264A-22C1-4B92-9091-C6C8A64F1D22}"/>
  </bookViews>
  <sheets>
    <sheet name="PricingwiseAnalysis" sheetId="2" r:id="rId1"/>
    <sheet name="DeliverywiseAnalysis" sheetId="3" r:id="rId2"/>
    <sheet name="QualitywiseAnalysis" sheetId="4" r:id="rId3"/>
    <sheet name="ProcurementwiseAnalysis" sheetId="5" r:id="rId4"/>
    <sheet name="NegotiatedAnalysis" sheetId="6" r:id="rId5"/>
    <sheet name="ReliabilityAnalysis" sheetId="7" r:id="rId6"/>
    <sheet name="YearlywiseAnalysis" sheetId="8" r:id="rId7"/>
    <sheet name="CleanedDataSet" sheetId="1" r:id="rId8"/>
    <sheet name="Cards" sheetId="9" r:id="rId9"/>
    <sheet name="Slicer" sheetId="10" r:id="rId10"/>
    <sheet name="Dashboard" sheetId="11" r:id="rId11"/>
    <sheet name="Sheet1" sheetId="12" r:id="rId12"/>
  </sheets>
  <definedNames>
    <definedName name="_xlnm._FilterDatabase" localSheetId="7">CleanedDataSet!$A$1:$P$779</definedName>
    <definedName name="Slicer_Compliance">#N/A</definedName>
    <definedName name="Slicer_Item_Category">#N/A</definedName>
    <definedName name="Slicer_Order_Status">#N/A</definedName>
    <definedName name="Slicer_Order_Year">#N/A</definedName>
    <definedName name="Slicer_Vendor_Name">#N/A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778" i="1" l="1"/>
  <c r="N778" i="1"/>
  <c r="K778" i="1"/>
  <c r="P777" i="1"/>
  <c r="N777" i="1"/>
  <c r="K777" i="1"/>
  <c r="P776" i="1"/>
  <c r="N776" i="1"/>
  <c r="K776" i="1"/>
  <c r="P775" i="1"/>
  <c r="N775" i="1"/>
  <c r="K775" i="1"/>
  <c r="P774" i="1"/>
  <c r="N774" i="1"/>
  <c r="K774" i="1"/>
  <c r="P773" i="1"/>
  <c r="N773" i="1"/>
  <c r="K773" i="1"/>
  <c r="P772" i="1"/>
  <c r="N772" i="1"/>
  <c r="K772" i="1"/>
  <c r="P771" i="1"/>
  <c r="N771" i="1"/>
  <c r="K771" i="1"/>
  <c r="P770" i="1"/>
  <c r="N770" i="1"/>
  <c r="K770" i="1"/>
  <c r="P769" i="1"/>
  <c r="N769" i="1"/>
  <c r="K769" i="1"/>
  <c r="P768" i="1"/>
  <c r="N768" i="1"/>
  <c r="K768" i="1"/>
  <c r="P767" i="1"/>
  <c r="N767" i="1"/>
  <c r="K767" i="1"/>
  <c r="P766" i="1"/>
  <c r="N766" i="1"/>
  <c r="K766" i="1"/>
  <c r="P765" i="1"/>
  <c r="N765" i="1"/>
  <c r="K765" i="1"/>
  <c r="P764" i="1"/>
  <c r="N764" i="1"/>
  <c r="K764" i="1"/>
  <c r="P763" i="1"/>
  <c r="N763" i="1"/>
  <c r="K763" i="1"/>
  <c r="P762" i="1"/>
  <c r="N762" i="1"/>
  <c r="K762" i="1"/>
  <c r="P761" i="1"/>
  <c r="N761" i="1"/>
  <c r="K761" i="1"/>
  <c r="P760" i="1"/>
  <c r="N760" i="1"/>
  <c r="K760" i="1"/>
  <c r="P759" i="1"/>
  <c r="N759" i="1"/>
  <c r="K759" i="1"/>
  <c r="P758" i="1"/>
  <c r="N758" i="1"/>
  <c r="K758" i="1"/>
  <c r="P757" i="1"/>
  <c r="N757" i="1"/>
  <c r="K757" i="1"/>
  <c r="P756" i="1"/>
  <c r="N756" i="1"/>
  <c r="K756" i="1"/>
  <c r="P755" i="1"/>
  <c r="N755" i="1"/>
  <c r="K755" i="1"/>
  <c r="P754" i="1"/>
  <c r="N754" i="1"/>
  <c r="K754" i="1"/>
  <c r="P753" i="1"/>
  <c r="N753" i="1"/>
  <c r="K753" i="1"/>
  <c r="P752" i="1"/>
  <c r="N752" i="1"/>
  <c r="K752" i="1"/>
  <c r="P751" i="1"/>
  <c r="N751" i="1"/>
  <c r="K751" i="1"/>
  <c r="P750" i="1"/>
  <c r="N750" i="1"/>
  <c r="K750" i="1"/>
  <c r="P749" i="1"/>
  <c r="N749" i="1"/>
  <c r="K749" i="1"/>
  <c r="P748" i="1"/>
  <c r="N748" i="1"/>
  <c r="K748" i="1"/>
  <c r="P747" i="1"/>
  <c r="N747" i="1"/>
  <c r="K747" i="1"/>
  <c r="P746" i="1"/>
  <c r="N746" i="1"/>
  <c r="K746" i="1"/>
  <c r="P745" i="1"/>
  <c r="N745" i="1"/>
  <c r="K745" i="1"/>
  <c r="P744" i="1"/>
  <c r="N744" i="1"/>
  <c r="K744" i="1"/>
  <c r="P743" i="1"/>
  <c r="N743" i="1"/>
  <c r="K743" i="1"/>
  <c r="P742" i="1"/>
  <c r="N742" i="1"/>
  <c r="K742" i="1"/>
  <c r="P741" i="1"/>
  <c r="N741" i="1"/>
  <c r="K741" i="1"/>
  <c r="P740" i="1"/>
  <c r="N740" i="1"/>
  <c r="K740" i="1"/>
  <c r="P739" i="1"/>
  <c r="N739" i="1"/>
  <c r="K739" i="1"/>
  <c r="P738" i="1"/>
  <c r="N738" i="1"/>
  <c r="K738" i="1"/>
  <c r="P737" i="1"/>
  <c r="N737" i="1"/>
  <c r="K737" i="1"/>
  <c r="P736" i="1"/>
  <c r="N736" i="1"/>
  <c r="K736" i="1"/>
  <c r="P735" i="1"/>
  <c r="N735" i="1"/>
  <c r="K735" i="1"/>
  <c r="P734" i="1"/>
  <c r="N734" i="1"/>
  <c r="K734" i="1"/>
  <c r="P733" i="1"/>
  <c r="N733" i="1"/>
  <c r="K733" i="1"/>
  <c r="P732" i="1"/>
  <c r="N732" i="1"/>
  <c r="K732" i="1"/>
  <c r="P731" i="1"/>
  <c r="N731" i="1"/>
  <c r="K731" i="1"/>
  <c r="P730" i="1"/>
  <c r="N730" i="1"/>
  <c r="K730" i="1"/>
  <c r="P729" i="1"/>
  <c r="N729" i="1"/>
  <c r="K729" i="1"/>
  <c r="P728" i="1"/>
  <c r="N728" i="1"/>
  <c r="K728" i="1"/>
  <c r="P727" i="1"/>
  <c r="N727" i="1"/>
  <c r="K727" i="1"/>
  <c r="P726" i="1"/>
  <c r="N726" i="1"/>
  <c r="K726" i="1"/>
  <c r="P725" i="1"/>
  <c r="N725" i="1"/>
  <c r="K725" i="1"/>
  <c r="P724" i="1"/>
  <c r="N724" i="1"/>
  <c r="K724" i="1"/>
  <c r="P723" i="1"/>
  <c r="N723" i="1"/>
  <c r="K723" i="1"/>
  <c r="P722" i="1"/>
  <c r="N722" i="1"/>
  <c r="K722" i="1"/>
  <c r="P721" i="1"/>
  <c r="N721" i="1"/>
  <c r="K721" i="1"/>
  <c r="P720" i="1"/>
  <c r="N720" i="1"/>
  <c r="K720" i="1"/>
  <c r="P719" i="1"/>
  <c r="N719" i="1"/>
  <c r="K719" i="1"/>
  <c r="P718" i="1"/>
  <c r="N718" i="1"/>
  <c r="K718" i="1"/>
  <c r="P717" i="1"/>
  <c r="N717" i="1"/>
  <c r="K717" i="1"/>
  <c r="P716" i="1"/>
  <c r="N716" i="1"/>
  <c r="K716" i="1"/>
  <c r="P715" i="1"/>
  <c r="N715" i="1"/>
  <c r="K715" i="1"/>
  <c r="P714" i="1"/>
  <c r="N714" i="1"/>
  <c r="K714" i="1"/>
  <c r="P713" i="1"/>
  <c r="N713" i="1"/>
  <c r="K713" i="1"/>
  <c r="P712" i="1"/>
  <c r="N712" i="1"/>
  <c r="K712" i="1"/>
  <c r="P711" i="1"/>
  <c r="N711" i="1"/>
  <c r="K711" i="1"/>
  <c r="P710" i="1"/>
  <c r="N710" i="1"/>
  <c r="K710" i="1"/>
  <c r="P709" i="1"/>
  <c r="N709" i="1"/>
  <c r="K709" i="1"/>
  <c r="P708" i="1"/>
  <c r="N708" i="1"/>
  <c r="K708" i="1"/>
  <c r="P707" i="1"/>
  <c r="N707" i="1"/>
  <c r="K707" i="1"/>
  <c r="P706" i="1"/>
  <c r="N706" i="1"/>
  <c r="K706" i="1"/>
  <c r="P705" i="1"/>
  <c r="N705" i="1"/>
  <c r="K705" i="1"/>
  <c r="P704" i="1"/>
  <c r="N704" i="1"/>
  <c r="K704" i="1"/>
  <c r="P703" i="1"/>
  <c r="N703" i="1"/>
  <c r="K703" i="1"/>
  <c r="P702" i="1"/>
  <c r="N702" i="1"/>
  <c r="K702" i="1"/>
  <c r="P701" i="1"/>
  <c r="N701" i="1"/>
  <c r="K701" i="1"/>
  <c r="P700" i="1"/>
  <c r="N700" i="1"/>
  <c r="K700" i="1"/>
  <c r="P699" i="1"/>
  <c r="N699" i="1"/>
  <c r="K699" i="1"/>
  <c r="P698" i="1"/>
  <c r="N698" i="1"/>
  <c r="K698" i="1"/>
  <c r="P697" i="1"/>
  <c r="N697" i="1"/>
  <c r="K697" i="1"/>
  <c r="P696" i="1"/>
  <c r="N696" i="1"/>
  <c r="K696" i="1"/>
  <c r="P695" i="1"/>
  <c r="N695" i="1"/>
  <c r="K695" i="1"/>
  <c r="P694" i="1"/>
  <c r="N694" i="1"/>
  <c r="K694" i="1"/>
  <c r="P693" i="1"/>
  <c r="N693" i="1"/>
  <c r="K693" i="1"/>
  <c r="P692" i="1"/>
  <c r="N692" i="1"/>
  <c r="K692" i="1"/>
  <c r="P691" i="1"/>
  <c r="N691" i="1"/>
  <c r="K691" i="1"/>
  <c r="P690" i="1"/>
  <c r="N690" i="1"/>
  <c r="K690" i="1"/>
  <c r="P689" i="1"/>
  <c r="N689" i="1"/>
  <c r="K689" i="1"/>
  <c r="P688" i="1"/>
  <c r="N688" i="1"/>
  <c r="K688" i="1"/>
  <c r="P687" i="1"/>
  <c r="N687" i="1"/>
  <c r="K687" i="1"/>
  <c r="P686" i="1"/>
  <c r="N686" i="1"/>
  <c r="K686" i="1"/>
  <c r="P685" i="1"/>
  <c r="N685" i="1"/>
  <c r="K685" i="1"/>
  <c r="P684" i="1"/>
  <c r="N684" i="1"/>
  <c r="K684" i="1"/>
  <c r="P683" i="1"/>
  <c r="N683" i="1"/>
  <c r="K683" i="1"/>
  <c r="P682" i="1"/>
  <c r="N682" i="1"/>
  <c r="K682" i="1"/>
  <c r="P681" i="1"/>
  <c r="N681" i="1"/>
  <c r="K681" i="1"/>
  <c r="R680" i="1"/>
  <c r="P680" i="1"/>
  <c r="N680" i="1"/>
  <c r="K680" i="1"/>
  <c r="P679" i="1"/>
  <c r="N679" i="1"/>
  <c r="K679" i="1"/>
  <c r="P678" i="1"/>
  <c r="N678" i="1"/>
  <c r="K678" i="1"/>
  <c r="P677" i="1"/>
  <c r="N677" i="1"/>
  <c r="K677" i="1"/>
  <c r="P676" i="1"/>
  <c r="N676" i="1"/>
  <c r="K676" i="1"/>
  <c r="P675" i="1"/>
  <c r="N675" i="1"/>
  <c r="K675" i="1"/>
  <c r="P674" i="1"/>
  <c r="N674" i="1"/>
  <c r="K674" i="1"/>
  <c r="P673" i="1"/>
  <c r="N673" i="1"/>
  <c r="K673" i="1"/>
  <c r="P672" i="1"/>
  <c r="N672" i="1"/>
  <c r="K672" i="1"/>
  <c r="P671" i="1"/>
  <c r="N671" i="1"/>
  <c r="K671" i="1"/>
  <c r="P670" i="1"/>
  <c r="N670" i="1"/>
  <c r="K670" i="1"/>
  <c r="P669" i="1"/>
  <c r="N669" i="1"/>
  <c r="K669" i="1"/>
  <c r="P668" i="1"/>
  <c r="N668" i="1"/>
  <c r="K668" i="1"/>
  <c r="P667" i="1"/>
  <c r="N667" i="1"/>
  <c r="K667" i="1"/>
  <c r="P666" i="1"/>
  <c r="N666" i="1"/>
  <c r="K666" i="1"/>
  <c r="P665" i="1"/>
  <c r="N665" i="1"/>
  <c r="K665" i="1"/>
  <c r="P664" i="1"/>
  <c r="N664" i="1"/>
  <c r="K664" i="1"/>
  <c r="P663" i="1"/>
  <c r="N663" i="1"/>
  <c r="K663" i="1"/>
  <c r="P662" i="1"/>
  <c r="N662" i="1"/>
  <c r="K662" i="1"/>
  <c r="P661" i="1"/>
  <c r="N661" i="1"/>
  <c r="K661" i="1"/>
  <c r="P660" i="1"/>
  <c r="N660" i="1"/>
  <c r="K660" i="1"/>
  <c r="P659" i="1"/>
  <c r="N659" i="1"/>
  <c r="K659" i="1"/>
  <c r="P658" i="1"/>
  <c r="N658" i="1"/>
  <c r="K658" i="1"/>
  <c r="P657" i="1"/>
  <c r="N657" i="1"/>
  <c r="K657" i="1"/>
  <c r="P656" i="1"/>
  <c r="N656" i="1"/>
  <c r="K656" i="1"/>
  <c r="P655" i="1"/>
  <c r="N655" i="1"/>
  <c r="K655" i="1"/>
  <c r="P654" i="1"/>
  <c r="N654" i="1"/>
  <c r="K654" i="1"/>
  <c r="P653" i="1"/>
  <c r="N653" i="1"/>
  <c r="K653" i="1"/>
  <c r="P652" i="1"/>
  <c r="N652" i="1"/>
  <c r="K652" i="1"/>
  <c r="P651" i="1"/>
  <c r="N651" i="1"/>
  <c r="K651" i="1"/>
  <c r="P650" i="1"/>
  <c r="N650" i="1"/>
  <c r="K650" i="1"/>
  <c r="P649" i="1"/>
  <c r="N649" i="1"/>
  <c r="K649" i="1"/>
  <c r="P648" i="1"/>
  <c r="N648" i="1"/>
  <c r="K648" i="1"/>
  <c r="P647" i="1"/>
  <c r="N647" i="1"/>
  <c r="K647" i="1"/>
  <c r="P646" i="1"/>
  <c r="N646" i="1"/>
  <c r="K646" i="1"/>
  <c r="P645" i="1"/>
  <c r="N645" i="1"/>
  <c r="K645" i="1"/>
  <c r="P644" i="1"/>
  <c r="N644" i="1"/>
  <c r="K644" i="1"/>
  <c r="P643" i="1"/>
  <c r="N643" i="1"/>
  <c r="K643" i="1"/>
  <c r="P642" i="1"/>
  <c r="N642" i="1"/>
  <c r="K642" i="1"/>
  <c r="P641" i="1"/>
  <c r="N641" i="1"/>
  <c r="K641" i="1"/>
  <c r="P640" i="1"/>
  <c r="N640" i="1"/>
  <c r="K640" i="1"/>
  <c r="P639" i="1"/>
  <c r="N639" i="1"/>
  <c r="K639" i="1"/>
  <c r="P638" i="1"/>
  <c r="N638" i="1"/>
  <c r="K638" i="1"/>
  <c r="P637" i="1"/>
  <c r="N637" i="1"/>
  <c r="K637" i="1"/>
  <c r="P636" i="1"/>
  <c r="N636" i="1"/>
  <c r="K636" i="1"/>
  <c r="P635" i="1"/>
  <c r="N635" i="1"/>
  <c r="K635" i="1"/>
  <c r="P634" i="1"/>
  <c r="N634" i="1"/>
  <c r="K634" i="1"/>
  <c r="P633" i="1"/>
  <c r="N633" i="1"/>
  <c r="K633" i="1"/>
  <c r="P632" i="1"/>
  <c r="N632" i="1"/>
  <c r="K632" i="1"/>
  <c r="P631" i="1"/>
  <c r="N631" i="1"/>
  <c r="K631" i="1"/>
  <c r="P630" i="1"/>
  <c r="N630" i="1"/>
  <c r="K630" i="1"/>
  <c r="P629" i="1"/>
  <c r="N629" i="1"/>
  <c r="K629" i="1"/>
  <c r="P628" i="1"/>
  <c r="N628" i="1"/>
  <c r="K628" i="1"/>
  <c r="P627" i="1"/>
  <c r="N627" i="1"/>
  <c r="K627" i="1"/>
  <c r="P626" i="1"/>
  <c r="N626" i="1"/>
  <c r="K626" i="1"/>
  <c r="P625" i="1"/>
  <c r="N625" i="1"/>
  <c r="K625" i="1"/>
  <c r="P624" i="1"/>
  <c r="N624" i="1"/>
  <c r="K624" i="1"/>
  <c r="P623" i="1"/>
  <c r="N623" i="1"/>
  <c r="K623" i="1"/>
  <c r="P622" i="1"/>
  <c r="N622" i="1"/>
  <c r="K622" i="1"/>
  <c r="P621" i="1"/>
  <c r="N621" i="1"/>
  <c r="K621" i="1"/>
  <c r="P620" i="1"/>
  <c r="N620" i="1"/>
  <c r="K620" i="1"/>
  <c r="P619" i="1"/>
  <c r="N619" i="1"/>
  <c r="K619" i="1"/>
  <c r="P618" i="1"/>
  <c r="N618" i="1"/>
  <c r="K618" i="1"/>
  <c r="P617" i="1"/>
  <c r="N617" i="1"/>
  <c r="K617" i="1"/>
  <c r="P616" i="1"/>
  <c r="N616" i="1"/>
  <c r="K616" i="1"/>
  <c r="P615" i="1"/>
  <c r="N615" i="1"/>
  <c r="K615" i="1"/>
  <c r="P614" i="1"/>
  <c r="N614" i="1"/>
  <c r="K614" i="1"/>
  <c r="P613" i="1"/>
  <c r="N613" i="1"/>
  <c r="K613" i="1"/>
  <c r="P612" i="1"/>
  <c r="N612" i="1"/>
  <c r="K612" i="1"/>
  <c r="P611" i="1"/>
  <c r="N611" i="1"/>
  <c r="K611" i="1"/>
  <c r="P610" i="1"/>
  <c r="N610" i="1"/>
  <c r="K610" i="1"/>
  <c r="P609" i="1"/>
  <c r="N609" i="1"/>
  <c r="K609" i="1"/>
  <c r="P608" i="1"/>
  <c r="N608" i="1"/>
  <c r="K608" i="1"/>
  <c r="P607" i="1"/>
  <c r="N607" i="1"/>
  <c r="K607" i="1"/>
  <c r="P606" i="1"/>
  <c r="N606" i="1"/>
  <c r="K606" i="1"/>
  <c r="P605" i="1"/>
  <c r="N605" i="1"/>
  <c r="K605" i="1"/>
  <c r="P604" i="1"/>
  <c r="N604" i="1"/>
  <c r="K604" i="1"/>
  <c r="P603" i="1"/>
  <c r="N603" i="1"/>
  <c r="K603" i="1"/>
  <c r="P602" i="1"/>
  <c r="N602" i="1"/>
  <c r="K602" i="1"/>
  <c r="P601" i="1"/>
  <c r="N601" i="1"/>
  <c r="K601" i="1"/>
  <c r="P600" i="1"/>
  <c r="N600" i="1"/>
  <c r="K600" i="1"/>
  <c r="P599" i="1"/>
  <c r="N599" i="1"/>
  <c r="K599" i="1"/>
  <c r="P598" i="1"/>
  <c r="N598" i="1"/>
  <c r="K598" i="1"/>
  <c r="P597" i="1"/>
  <c r="N597" i="1"/>
  <c r="K597" i="1"/>
  <c r="P596" i="1"/>
  <c r="N596" i="1"/>
  <c r="K596" i="1"/>
  <c r="P595" i="1"/>
  <c r="N595" i="1"/>
  <c r="K595" i="1"/>
  <c r="P594" i="1"/>
  <c r="N594" i="1"/>
  <c r="K594" i="1"/>
  <c r="P593" i="1"/>
  <c r="N593" i="1"/>
  <c r="K593" i="1"/>
  <c r="P592" i="1"/>
  <c r="N592" i="1"/>
  <c r="K592" i="1"/>
  <c r="P591" i="1"/>
  <c r="N591" i="1"/>
  <c r="K591" i="1"/>
  <c r="P590" i="1"/>
  <c r="N590" i="1"/>
  <c r="K590" i="1"/>
  <c r="P589" i="1"/>
  <c r="N589" i="1"/>
  <c r="K589" i="1"/>
  <c r="P588" i="1"/>
  <c r="N588" i="1"/>
  <c r="K588" i="1"/>
  <c r="P587" i="1"/>
  <c r="N587" i="1"/>
  <c r="K587" i="1"/>
  <c r="P586" i="1"/>
  <c r="N586" i="1"/>
  <c r="K586" i="1"/>
  <c r="P585" i="1"/>
  <c r="N585" i="1"/>
  <c r="K585" i="1"/>
  <c r="P584" i="1"/>
  <c r="N584" i="1"/>
  <c r="K584" i="1"/>
  <c r="P583" i="1"/>
  <c r="N583" i="1"/>
  <c r="K583" i="1"/>
  <c r="P582" i="1"/>
  <c r="N582" i="1"/>
  <c r="K582" i="1"/>
  <c r="P581" i="1"/>
  <c r="N581" i="1"/>
  <c r="K581" i="1"/>
  <c r="P580" i="1"/>
  <c r="N580" i="1"/>
  <c r="K580" i="1"/>
  <c r="P579" i="1"/>
  <c r="N579" i="1"/>
  <c r="K579" i="1"/>
  <c r="P578" i="1"/>
  <c r="N578" i="1"/>
  <c r="K578" i="1"/>
  <c r="P577" i="1"/>
  <c r="N577" i="1"/>
  <c r="K577" i="1"/>
  <c r="P576" i="1"/>
  <c r="N576" i="1"/>
  <c r="K576" i="1"/>
  <c r="P575" i="1"/>
  <c r="N575" i="1"/>
  <c r="K575" i="1"/>
  <c r="P574" i="1"/>
  <c r="N574" i="1"/>
  <c r="K574" i="1"/>
  <c r="P573" i="1"/>
  <c r="N573" i="1"/>
  <c r="K573" i="1"/>
  <c r="P572" i="1"/>
  <c r="N572" i="1"/>
  <c r="K572" i="1"/>
  <c r="P571" i="1"/>
  <c r="N571" i="1"/>
  <c r="K571" i="1"/>
  <c r="P570" i="1"/>
  <c r="N570" i="1"/>
  <c r="K570" i="1"/>
  <c r="P569" i="1"/>
  <c r="N569" i="1"/>
  <c r="K569" i="1"/>
  <c r="P568" i="1"/>
  <c r="N568" i="1"/>
  <c r="K568" i="1"/>
  <c r="P567" i="1"/>
  <c r="N567" i="1"/>
  <c r="K567" i="1"/>
  <c r="P566" i="1"/>
  <c r="N566" i="1"/>
  <c r="K566" i="1"/>
  <c r="P565" i="1"/>
  <c r="N565" i="1"/>
  <c r="K565" i="1"/>
  <c r="P564" i="1"/>
  <c r="N564" i="1"/>
  <c r="K564" i="1"/>
  <c r="P563" i="1"/>
  <c r="N563" i="1"/>
  <c r="K563" i="1"/>
  <c r="P562" i="1"/>
  <c r="N562" i="1"/>
  <c r="K562" i="1"/>
  <c r="P561" i="1"/>
  <c r="N561" i="1"/>
  <c r="K561" i="1"/>
  <c r="P560" i="1"/>
  <c r="N560" i="1"/>
  <c r="K560" i="1"/>
  <c r="P559" i="1"/>
  <c r="N559" i="1"/>
  <c r="K559" i="1"/>
  <c r="P558" i="1"/>
  <c r="N558" i="1"/>
  <c r="K558" i="1"/>
  <c r="P557" i="1"/>
  <c r="N557" i="1"/>
  <c r="K557" i="1"/>
  <c r="P556" i="1"/>
  <c r="N556" i="1"/>
  <c r="K556" i="1"/>
  <c r="P555" i="1"/>
  <c r="N555" i="1"/>
  <c r="K555" i="1"/>
  <c r="P554" i="1"/>
  <c r="N554" i="1"/>
  <c r="K554" i="1"/>
  <c r="P553" i="1"/>
  <c r="N553" i="1"/>
  <c r="K553" i="1"/>
  <c r="P552" i="1"/>
  <c r="N552" i="1"/>
  <c r="K552" i="1"/>
  <c r="P551" i="1"/>
  <c r="N551" i="1"/>
  <c r="K551" i="1"/>
  <c r="P550" i="1"/>
  <c r="N550" i="1"/>
  <c r="K550" i="1"/>
  <c r="P549" i="1"/>
  <c r="N549" i="1"/>
  <c r="K549" i="1"/>
  <c r="P548" i="1"/>
  <c r="N548" i="1"/>
  <c r="K548" i="1"/>
  <c r="P547" i="1"/>
  <c r="N547" i="1"/>
  <c r="K547" i="1"/>
  <c r="P546" i="1"/>
  <c r="N546" i="1"/>
  <c r="K546" i="1"/>
  <c r="P545" i="1"/>
  <c r="N545" i="1"/>
  <c r="K545" i="1"/>
  <c r="P544" i="1"/>
  <c r="N544" i="1"/>
  <c r="K544" i="1"/>
  <c r="P543" i="1"/>
  <c r="N543" i="1"/>
  <c r="K543" i="1"/>
  <c r="P542" i="1"/>
  <c r="N542" i="1"/>
  <c r="K542" i="1"/>
  <c r="P541" i="1"/>
  <c r="N541" i="1"/>
  <c r="K541" i="1"/>
  <c r="P540" i="1"/>
  <c r="N540" i="1"/>
  <c r="K540" i="1"/>
  <c r="P539" i="1"/>
  <c r="N539" i="1"/>
  <c r="K539" i="1"/>
  <c r="P538" i="1"/>
  <c r="N538" i="1"/>
  <c r="K538" i="1"/>
  <c r="P537" i="1"/>
  <c r="N537" i="1"/>
  <c r="K537" i="1"/>
  <c r="P536" i="1"/>
  <c r="N536" i="1"/>
  <c r="K536" i="1"/>
  <c r="P535" i="1"/>
  <c r="N535" i="1"/>
  <c r="K535" i="1"/>
  <c r="P534" i="1"/>
  <c r="N534" i="1"/>
  <c r="K534" i="1"/>
  <c r="P533" i="1"/>
  <c r="N533" i="1"/>
  <c r="K533" i="1"/>
  <c r="P532" i="1"/>
  <c r="N532" i="1"/>
  <c r="K532" i="1"/>
  <c r="P531" i="1"/>
  <c r="N531" i="1"/>
  <c r="K531" i="1"/>
  <c r="P530" i="1"/>
  <c r="N530" i="1"/>
  <c r="K530" i="1"/>
  <c r="P529" i="1"/>
  <c r="N529" i="1"/>
  <c r="K529" i="1"/>
  <c r="P528" i="1"/>
  <c r="N528" i="1"/>
  <c r="K528" i="1"/>
  <c r="P527" i="1"/>
  <c r="N527" i="1"/>
  <c r="K527" i="1"/>
  <c r="P526" i="1"/>
  <c r="N526" i="1"/>
  <c r="K526" i="1"/>
  <c r="P525" i="1"/>
  <c r="N525" i="1"/>
  <c r="K525" i="1"/>
  <c r="P524" i="1"/>
  <c r="N524" i="1"/>
  <c r="K524" i="1"/>
  <c r="P523" i="1"/>
  <c r="N523" i="1"/>
  <c r="K523" i="1"/>
  <c r="P522" i="1"/>
  <c r="N522" i="1"/>
  <c r="K522" i="1"/>
  <c r="P521" i="1"/>
  <c r="N521" i="1"/>
  <c r="K521" i="1"/>
  <c r="P520" i="1"/>
  <c r="N520" i="1"/>
  <c r="K520" i="1"/>
  <c r="P519" i="1"/>
  <c r="N519" i="1"/>
  <c r="K519" i="1"/>
  <c r="P518" i="1"/>
  <c r="N518" i="1"/>
  <c r="K518" i="1"/>
  <c r="P517" i="1"/>
  <c r="N517" i="1"/>
  <c r="K517" i="1"/>
  <c r="P516" i="1"/>
  <c r="N516" i="1"/>
  <c r="K516" i="1"/>
  <c r="P515" i="1"/>
  <c r="N515" i="1"/>
  <c r="K515" i="1"/>
  <c r="P514" i="1"/>
  <c r="N514" i="1"/>
  <c r="K514" i="1"/>
  <c r="P513" i="1"/>
  <c r="N513" i="1"/>
  <c r="K513" i="1"/>
  <c r="P512" i="1"/>
  <c r="N512" i="1"/>
  <c r="K512" i="1"/>
  <c r="P511" i="1"/>
  <c r="N511" i="1"/>
  <c r="K511" i="1"/>
  <c r="P510" i="1"/>
  <c r="N510" i="1"/>
  <c r="K510" i="1"/>
  <c r="P509" i="1"/>
  <c r="N509" i="1"/>
  <c r="K509" i="1"/>
  <c r="P508" i="1"/>
  <c r="N508" i="1"/>
  <c r="K508" i="1"/>
  <c r="P507" i="1"/>
  <c r="N507" i="1"/>
  <c r="K507" i="1"/>
  <c r="P506" i="1"/>
  <c r="N506" i="1"/>
  <c r="K506" i="1"/>
  <c r="P505" i="1"/>
  <c r="N505" i="1"/>
  <c r="K505" i="1"/>
  <c r="P504" i="1"/>
  <c r="N504" i="1"/>
  <c r="K504" i="1"/>
  <c r="P503" i="1"/>
  <c r="N503" i="1"/>
  <c r="K503" i="1"/>
  <c r="P502" i="1"/>
  <c r="N502" i="1"/>
  <c r="K502" i="1"/>
  <c r="P501" i="1"/>
  <c r="N501" i="1"/>
  <c r="K501" i="1"/>
  <c r="P500" i="1"/>
  <c r="N500" i="1"/>
  <c r="K500" i="1"/>
  <c r="P499" i="1"/>
  <c r="N499" i="1"/>
  <c r="K499" i="1"/>
  <c r="P498" i="1"/>
  <c r="N498" i="1"/>
  <c r="K498" i="1"/>
  <c r="P497" i="1"/>
  <c r="N497" i="1"/>
  <c r="K497" i="1"/>
  <c r="P496" i="1"/>
  <c r="N496" i="1"/>
  <c r="K496" i="1"/>
  <c r="P495" i="1"/>
  <c r="N495" i="1"/>
  <c r="K495" i="1"/>
  <c r="P494" i="1"/>
  <c r="N494" i="1"/>
  <c r="K494" i="1"/>
  <c r="P493" i="1"/>
  <c r="N493" i="1"/>
  <c r="K493" i="1"/>
  <c r="P492" i="1"/>
  <c r="N492" i="1"/>
  <c r="K492" i="1"/>
  <c r="P491" i="1"/>
  <c r="N491" i="1"/>
  <c r="K491" i="1"/>
  <c r="P490" i="1"/>
  <c r="N490" i="1"/>
  <c r="K490" i="1"/>
  <c r="P489" i="1"/>
  <c r="N489" i="1"/>
  <c r="K489" i="1"/>
  <c r="P488" i="1"/>
  <c r="N488" i="1"/>
  <c r="K488" i="1"/>
  <c r="P487" i="1"/>
  <c r="N487" i="1"/>
  <c r="K487" i="1"/>
  <c r="P486" i="1"/>
  <c r="N486" i="1"/>
  <c r="K486" i="1"/>
  <c r="P485" i="1"/>
  <c r="N485" i="1"/>
  <c r="K485" i="1"/>
  <c r="P484" i="1"/>
  <c r="N484" i="1"/>
  <c r="K484" i="1"/>
  <c r="P483" i="1"/>
  <c r="N483" i="1"/>
  <c r="K483" i="1"/>
  <c r="P482" i="1"/>
  <c r="N482" i="1"/>
  <c r="K482" i="1"/>
  <c r="P481" i="1"/>
  <c r="N481" i="1"/>
  <c r="K481" i="1"/>
  <c r="P480" i="1"/>
  <c r="N480" i="1"/>
  <c r="K480" i="1"/>
  <c r="P479" i="1"/>
  <c r="N479" i="1"/>
  <c r="K479" i="1"/>
  <c r="P478" i="1"/>
  <c r="N478" i="1"/>
  <c r="K478" i="1"/>
  <c r="P477" i="1"/>
  <c r="N477" i="1"/>
  <c r="K477" i="1"/>
  <c r="P476" i="1"/>
  <c r="N476" i="1"/>
  <c r="K476" i="1"/>
  <c r="P475" i="1"/>
  <c r="N475" i="1"/>
  <c r="K475" i="1"/>
  <c r="P474" i="1"/>
  <c r="N474" i="1"/>
  <c r="K474" i="1"/>
  <c r="P473" i="1"/>
  <c r="N473" i="1"/>
  <c r="K473" i="1"/>
  <c r="P472" i="1"/>
  <c r="N472" i="1"/>
  <c r="K472" i="1"/>
  <c r="P471" i="1"/>
  <c r="N471" i="1"/>
  <c r="K471" i="1"/>
  <c r="P470" i="1"/>
  <c r="N470" i="1"/>
  <c r="K470" i="1"/>
  <c r="P469" i="1"/>
  <c r="N469" i="1"/>
  <c r="K469" i="1"/>
  <c r="P468" i="1"/>
  <c r="N468" i="1"/>
  <c r="K468" i="1"/>
  <c r="P467" i="1"/>
  <c r="N467" i="1"/>
  <c r="K467" i="1"/>
  <c r="P466" i="1"/>
  <c r="N466" i="1"/>
  <c r="K466" i="1"/>
  <c r="P465" i="1"/>
  <c r="N465" i="1"/>
  <c r="K465" i="1"/>
  <c r="P464" i="1"/>
  <c r="N464" i="1"/>
  <c r="K464" i="1"/>
  <c r="P463" i="1"/>
  <c r="N463" i="1"/>
  <c r="K463" i="1"/>
  <c r="P462" i="1"/>
  <c r="N462" i="1"/>
  <c r="K462" i="1"/>
  <c r="P461" i="1"/>
  <c r="N461" i="1"/>
  <c r="K461" i="1"/>
  <c r="P460" i="1"/>
  <c r="N460" i="1"/>
  <c r="K460" i="1"/>
  <c r="P459" i="1"/>
  <c r="N459" i="1"/>
  <c r="K459" i="1"/>
  <c r="P458" i="1"/>
  <c r="N458" i="1"/>
  <c r="K458" i="1"/>
  <c r="P457" i="1"/>
  <c r="N457" i="1"/>
  <c r="K457" i="1"/>
  <c r="P456" i="1"/>
  <c r="N456" i="1"/>
  <c r="K456" i="1"/>
  <c r="P455" i="1"/>
  <c r="N455" i="1"/>
  <c r="K455" i="1"/>
  <c r="P454" i="1"/>
  <c r="N454" i="1"/>
  <c r="K454" i="1"/>
  <c r="P453" i="1"/>
  <c r="N453" i="1"/>
  <c r="K453" i="1"/>
  <c r="P452" i="1"/>
  <c r="N452" i="1"/>
  <c r="K452" i="1"/>
  <c r="P451" i="1"/>
  <c r="N451" i="1"/>
  <c r="K451" i="1"/>
  <c r="P450" i="1"/>
  <c r="N450" i="1"/>
  <c r="K450" i="1"/>
  <c r="P449" i="1"/>
  <c r="N449" i="1"/>
  <c r="K449" i="1"/>
  <c r="P448" i="1"/>
  <c r="N448" i="1"/>
  <c r="K448" i="1"/>
  <c r="P447" i="1"/>
  <c r="N447" i="1"/>
  <c r="K447" i="1"/>
  <c r="P446" i="1"/>
  <c r="N446" i="1"/>
  <c r="K446" i="1"/>
  <c r="P445" i="1"/>
  <c r="N445" i="1"/>
  <c r="K445" i="1"/>
  <c r="P444" i="1"/>
  <c r="N444" i="1"/>
  <c r="K444" i="1"/>
  <c r="P443" i="1"/>
  <c r="N443" i="1"/>
  <c r="K443" i="1"/>
  <c r="P442" i="1"/>
  <c r="N442" i="1"/>
  <c r="K442" i="1"/>
  <c r="P441" i="1"/>
  <c r="N441" i="1"/>
  <c r="K441" i="1"/>
  <c r="P440" i="1"/>
  <c r="N440" i="1"/>
  <c r="K440" i="1"/>
  <c r="P439" i="1"/>
  <c r="N439" i="1"/>
  <c r="K439" i="1"/>
  <c r="P438" i="1"/>
  <c r="N438" i="1"/>
  <c r="K438" i="1"/>
  <c r="P437" i="1"/>
  <c r="N437" i="1"/>
  <c r="K437" i="1"/>
  <c r="P436" i="1"/>
  <c r="N436" i="1"/>
  <c r="K436" i="1"/>
  <c r="P435" i="1"/>
  <c r="N435" i="1"/>
  <c r="K435" i="1"/>
  <c r="P434" i="1"/>
  <c r="N434" i="1"/>
  <c r="K434" i="1"/>
  <c r="P433" i="1"/>
  <c r="N433" i="1"/>
  <c r="K433" i="1"/>
  <c r="P432" i="1"/>
  <c r="N432" i="1"/>
  <c r="K432" i="1"/>
  <c r="P431" i="1"/>
  <c r="N431" i="1"/>
  <c r="K431" i="1"/>
  <c r="P430" i="1"/>
  <c r="N430" i="1"/>
  <c r="K430" i="1"/>
  <c r="P429" i="1"/>
  <c r="N429" i="1"/>
  <c r="K429" i="1"/>
  <c r="P428" i="1"/>
  <c r="N428" i="1"/>
  <c r="K428" i="1"/>
  <c r="P427" i="1"/>
  <c r="N427" i="1"/>
  <c r="K427" i="1"/>
  <c r="P426" i="1"/>
  <c r="N426" i="1"/>
  <c r="K426" i="1"/>
  <c r="P425" i="1"/>
  <c r="N425" i="1"/>
  <c r="K425" i="1"/>
  <c r="P424" i="1"/>
  <c r="N424" i="1"/>
  <c r="K424" i="1"/>
  <c r="P423" i="1"/>
  <c r="N423" i="1"/>
  <c r="K423" i="1"/>
  <c r="P422" i="1"/>
  <c r="N422" i="1"/>
  <c r="K422" i="1"/>
  <c r="P421" i="1"/>
  <c r="N421" i="1"/>
  <c r="K421" i="1"/>
  <c r="P420" i="1"/>
  <c r="N420" i="1"/>
  <c r="K420" i="1"/>
  <c r="P419" i="1"/>
  <c r="N419" i="1"/>
  <c r="K419" i="1"/>
  <c r="P418" i="1"/>
  <c r="N418" i="1"/>
  <c r="K418" i="1"/>
  <c r="P417" i="1"/>
  <c r="N417" i="1"/>
  <c r="K417" i="1"/>
  <c r="P416" i="1"/>
  <c r="N416" i="1"/>
  <c r="K416" i="1"/>
  <c r="P415" i="1"/>
  <c r="N415" i="1"/>
  <c r="K415" i="1"/>
  <c r="P414" i="1"/>
  <c r="N414" i="1"/>
  <c r="K414" i="1"/>
  <c r="P413" i="1"/>
  <c r="N413" i="1"/>
  <c r="K413" i="1"/>
  <c r="P412" i="1"/>
  <c r="N412" i="1"/>
  <c r="K412" i="1"/>
  <c r="P411" i="1"/>
  <c r="N411" i="1"/>
  <c r="K411" i="1"/>
  <c r="P410" i="1"/>
  <c r="N410" i="1"/>
  <c r="K410" i="1"/>
  <c r="P409" i="1"/>
  <c r="N409" i="1"/>
  <c r="K409" i="1"/>
  <c r="P408" i="1"/>
  <c r="N408" i="1"/>
  <c r="K408" i="1"/>
  <c r="P407" i="1"/>
  <c r="N407" i="1"/>
  <c r="K407" i="1"/>
  <c r="P406" i="1"/>
  <c r="N406" i="1"/>
  <c r="K406" i="1"/>
  <c r="P405" i="1"/>
  <c r="N405" i="1"/>
  <c r="K405" i="1"/>
  <c r="P404" i="1"/>
  <c r="N404" i="1"/>
  <c r="K404" i="1"/>
  <c r="P403" i="1"/>
  <c r="N403" i="1"/>
  <c r="K403" i="1"/>
  <c r="P402" i="1"/>
  <c r="N402" i="1"/>
  <c r="K402" i="1"/>
  <c r="P401" i="1"/>
  <c r="N401" i="1"/>
  <c r="K401" i="1"/>
  <c r="P400" i="1"/>
  <c r="N400" i="1"/>
  <c r="K400" i="1"/>
  <c r="P399" i="1"/>
  <c r="N399" i="1"/>
  <c r="K399" i="1"/>
  <c r="P398" i="1"/>
  <c r="N398" i="1"/>
  <c r="K398" i="1"/>
  <c r="P397" i="1"/>
  <c r="N397" i="1"/>
  <c r="K397" i="1"/>
  <c r="P396" i="1"/>
  <c r="N396" i="1"/>
  <c r="K396" i="1"/>
  <c r="P395" i="1"/>
  <c r="N395" i="1"/>
  <c r="K395" i="1"/>
  <c r="P394" i="1"/>
  <c r="N394" i="1"/>
  <c r="K394" i="1"/>
  <c r="P393" i="1"/>
  <c r="N393" i="1"/>
  <c r="K393" i="1"/>
  <c r="P392" i="1"/>
  <c r="N392" i="1"/>
  <c r="K392" i="1"/>
  <c r="P391" i="1"/>
  <c r="N391" i="1"/>
  <c r="K391" i="1"/>
  <c r="P390" i="1"/>
  <c r="N390" i="1"/>
  <c r="K390" i="1"/>
  <c r="P389" i="1"/>
  <c r="N389" i="1"/>
  <c r="K389" i="1"/>
  <c r="P388" i="1"/>
  <c r="N388" i="1"/>
  <c r="K388" i="1"/>
  <c r="P387" i="1"/>
  <c r="N387" i="1"/>
  <c r="K387" i="1"/>
  <c r="P386" i="1"/>
  <c r="N386" i="1"/>
  <c r="K386" i="1"/>
  <c r="P385" i="1"/>
  <c r="N385" i="1"/>
  <c r="K385" i="1"/>
  <c r="P384" i="1"/>
  <c r="N384" i="1"/>
  <c r="K384" i="1"/>
  <c r="P383" i="1"/>
  <c r="N383" i="1"/>
  <c r="K383" i="1"/>
  <c r="P382" i="1"/>
  <c r="N382" i="1"/>
  <c r="K382" i="1"/>
  <c r="P381" i="1"/>
  <c r="N381" i="1"/>
  <c r="K381" i="1"/>
  <c r="P380" i="1"/>
  <c r="N380" i="1"/>
  <c r="K380" i="1"/>
  <c r="P379" i="1"/>
  <c r="N379" i="1"/>
  <c r="K379" i="1"/>
  <c r="P378" i="1"/>
  <c r="N378" i="1"/>
  <c r="K378" i="1"/>
  <c r="P377" i="1"/>
  <c r="N377" i="1"/>
  <c r="K377" i="1"/>
  <c r="P376" i="1"/>
  <c r="N376" i="1"/>
  <c r="K376" i="1"/>
  <c r="P375" i="1"/>
  <c r="N375" i="1"/>
  <c r="K375" i="1"/>
  <c r="P374" i="1"/>
  <c r="N374" i="1"/>
  <c r="K374" i="1"/>
  <c r="P373" i="1"/>
  <c r="N373" i="1"/>
  <c r="K373" i="1"/>
  <c r="P372" i="1"/>
  <c r="N372" i="1"/>
  <c r="K372" i="1"/>
  <c r="P371" i="1"/>
  <c r="N371" i="1"/>
  <c r="K371" i="1"/>
  <c r="P370" i="1"/>
  <c r="N370" i="1"/>
  <c r="K370" i="1"/>
  <c r="P369" i="1"/>
  <c r="N369" i="1"/>
  <c r="K369" i="1"/>
  <c r="P368" i="1"/>
  <c r="N368" i="1"/>
  <c r="K368" i="1"/>
  <c r="P367" i="1"/>
  <c r="N367" i="1"/>
  <c r="K367" i="1"/>
  <c r="P366" i="1"/>
  <c r="N366" i="1"/>
  <c r="K366" i="1"/>
  <c r="P365" i="1"/>
  <c r="N365" i="1"/>
  <c r="K365" i="1"/>
  <c r="P364" i="1"/>
  <c r="N364" i="1"/>
  <c r="K364" i="1"/>
  <c r="P363" i="1"/>
  <c r="N363" i="1"/>
  <c r="K363" i="1"/>
  <c r="P362" i="1"/>
  <c r="N362" i="1"/>
  <c r="K362" i="1"/>
  <c r="P361" i="1"/>
  <c r="N361" i="1"/>
  <c r="K361" i="1"/>
  <c r="P360" i="1"/>
  <c r="N360" i="1"/>
  <c r="K360" i="1"/>
  <c r="P359" i="1"/>
  <c r="N359" i="1"/>
  <c r="K359" i="1"/>
  <c r="P358" i="1"/>
  <c r="N358" i="1"/>
  <c r="K358" i="1"/>
  <c r="P357" i="1"/>
  <c r="N357" i="1"/>
  <c r="K357" i="1"/>
  <c r="P356" i="1"/>
  <c r="N356" i="1"/>
  <c r="K356" i="1"/>
  <c r="P355" i="1"/>
  <c r="N355" i="1"/>
  <c r="K355" i="1"/>
  <c r="P354" i="1"/>
  <c r="N354" i="1"/>
  <c r="K354" i="1"/>
  <c r="P353" i="1"/>
  <c r="N353" i="1"/>
  <c r="K353" i="1"/>
  <c r="P352" i="1"/>
  <c r="N352" i="1"/>
  <c r="K352" i="1"/>
  <c r="P351" i="1"/>
  <c r="N351" i="1"/>
  <c r="K351" i="1"/>
  <c r="P350" i="1"/>
  <c r="N350" i="1"/>
  <c r="K350" i="1"/>
  <c r="P349" i="1"/>
  <c r="N349" i="1"/>
  <c r="K349" i="1"/>
  <c r="P348" i="1"/>
  <c r="N348" i="1"/>
  <c r="K348" i="1"/>
  <c r="P347" i="1"/>
  <c r="N347" i="1"/>
  <c r="K347" i="1"/>
  <c r="P346" i="1"/>
  <c r="N346" i="1"/>
  <c r="K346" i="1"/>
  <c r="P345" i="1"/>
  <c r="N345" i="1"/>
  <c r="K345" i="1"/>
  <c r="P344" i="1"/>
  <c r="N344" i="1"/>
  <c r="K344" i="1"/>
  <c r="P343" i="1"/>
  <c r="N343" i="1"/>
  <c r="K343" i="1"/>
  <c r="P342" i="1"/>
  <c r="N342" i="1"/>
  <c r="K342" i="1"/>
  <c r="P341" i="1"/>
  <c r="N341" i="1"/>
  <c r="K341" i="1"/>
  <c r="P340" i="1"/>
  <c r="N340" i="1"/>
  <c r="K340" i="1"/>
  <c r="P339" i="1"/>
  <c r="N339" i="1"/>
  <c r="K339" i="1"/>
  <c r="P338" i="1"/>
  <c r="N338" i="1"/>
  <c r="K338" i="1"/>
  <c r="P337" i="1"/>
  <c r="N337" i="1"/>
  <c r="K337" i="1"/>
  <c r="P336" i="1"/>
  <c r="N336" i="1"/>
  <c r="K336" i="1"/>
  <c r="P335" i="1"/>
  <c r="N335" i="1"/>
  <c r="K335" i="1"/>
  <c r="P334" i="1"/>
  <c r="N334" i="1"/>
  <c r="K334" i="1"/>
  <c r="P333" i="1"/>
  <c r="N333" i="1"/>
  <c r="K333" i="1"/>
  <c r="P332" i="1"/>
  <c r="N332" i="1"/>
  <c r="K332" i="1"/>
  <c r="P331" i="1"/>
  <c r="N331" i="1"/>
  <c r="K331" i="1"/>
  <c r="P330" i="1"/>
  <c r="N330" i="1"/>
  <c r="K330" i="1"/>
  <c r="P329" i="1"/>
  <c r="N329" i="1"/>
  <c r="K329" i="1"/>
  <c r="P328" i="1"/>
  <c r="N328" i="1"/>
  <c r="K328" i="1"/>
  <c r="P327" i="1"/>
  <c r="N327" i="1"/>
  <c r="K327" i="1"/>
  <c r="P326" i="1"/>
  <c r="N326" i="1"/>
  <c r="K326" i="1"/>
  <c r="P325" i="1"/>
  <c r="N325" i="1"/>
  <c r="K325" i="1"/>
  <c r="P324" i="1"/>
  <c r="N324" i="1"/>
  <c r="K324" i="1"/>
  <c r="P323" i="1"/>
  <c r="N323" i="1"/>
  <c r="K323" i="1"/>
  <c r="P322" i="1"/>
  <c r="N322" i="1"/>
  <c r="K322" i="1"/>
  <c r="P321" i="1"/>
  <c r="N321" i="1"/>
  <c r="K321" i="1"/>
  <c r="P320" i="1"/>
  <c r="N320" i="1"/>
  <c r="K320" i="1"/>
  <c r="P319" i="1"/>
  <c r="N319" i="1"/>
  <c r="K319" i="1"/>
  <c r="P318" i="1"/>
  <c r="N318" i="1"/>
  <c r="K318" i="1"/>
  <c r="P317" i="1"/>
  <c r="N317" i="1"/>
  <c r="K317" i="1"/>
  <c r="P316" i="1"/>
  <c r="N316" i="1"/>
  <c r="K316" i="1"/>
  <c r="P315" i="1"/>
  <c r="N315" i="1"/>
  <c r="K315" i="1"/>
  <c r="P314" i="1"/>
  <c r="N314" i="1"/>
  <c r="K314" i="1"/>
  <c r="P313" i="1"/>
  <c r="N313" i="1"/>
  <c r="K313" i="1"/>
  <c r="P312" i="1"/>
  <c r="N312" i="1"/>
  <c r="K312" i="1"/>
  <c r="P311" i="1"/>
  <c r="N311" i="1"/>
  <c r="K311" i="1"/>
  <c r="P310" i="1"/>
  <c r="N310" i="1"/>
  <c r="K310" i="1"/>
  <c r="P309" i="1"/>
  <c r="N309" i="1"/>
  <c r="K309" i="1"/>
  <c r="P308" i="1"/>
  <c r="N308" i="1"/>
  <c r="K308" i="1"/>
  <c r="P307" i="1"/>
  <c r="N307" i="1"/>
  <c r="K307" i="1"/>
  <c r="P306" i="1"/>
  <c r="N306" i="1"/>
  <c r="K306" i="1"/>
  <c r="P305" i="1"/>
  <c r="N305" i="1"/>
  <c r="K305" i="1"/>
  <c r="P304" i="1"/>
  <c r="N304" i="1"/>
  <c r="K304" i="1"/>
  <c r="P303" i="1"/>
  <c r="N303" i="1"/>
  <c r="K303" i="1"/>
  <c r="P302" i="1"/>
  <c r="N302" i="1"/>
  <c r="K302" i="1"/>
  <c r="P301" i="1"/>
  <c r="N301" i="1"/>
  <c r="K301" i="1"/>
  <c r="P300" i="1"/>
  <c r="N300" i="1"/>
  <c r="K300" i="1"/>
  <c r="P299" i="1"/>
  <c r="N299" i="1"/>
  <c r="K299" i="1"/>
  <c r="P298" i="1"/>
  <c r="N298" i="1"/>
  <c r="K298" i="1"/>
  <c r="P297" i="1"/>
  <c r="N297" i="1"/>
  <c r="K297" i="1"/>
  <c r="P296" i="1"/>
  <c r="N296" i="1"/>
  <c r="K296" i="1"/>
  <c r="P295" i="1"/>
  <c r="N295" i="1"/>
  <c r="K295" i="1"/>
  <c r="P294" i="1"/>
  <c r="N294" i="1"/>
  <c r="K294" i="1"/>
  <c r="P293" i="1"/>
  <c r="N293" i="1"/>
  <c r="K293" i="1"/>
  <c r="P292" i="1"/>
  <c r="N292" i="1"/>
  <c r="K292" i="1"/>
  <c r="P291" i="1"/>
  <c r="N291" i="1"/>
  <c r="K291" i="1"/>
  <c r="P290" i="1"/>
  <c r="N290" i="1"/>
  <c r="K290" i="1"/>
  <c r="P289" i="1"/>
  <c r="N289" i="1"/>
  <c r="K289" i="1"/>
  <c r="P288" i="1"/>
  <c r="N288" i="1"/>
  <c r="K288" i="1"/>
  <c r="P287" i="1"/>
  <c r="N287" i="1"/>
  <c r="K287" i="1"/>
  <c r="P286" i="1"/>
  <c r="N286" i="1"/>
  <c r="K286" i="1"/>
  <c r="P285" i="1"/>
  <c r="N285" i="1"/>
  <c r="K285" i="1"/>
  <c r="P284" i="1"/>
  <c r="N284" i="1"/>
  <c r="K284" i="1"/>
  <c r="P283" i="1"/>
  <c r="N283" i="1"/>
  <c r="K283" i="1"/>
  <c r="P282" i="1"/>
  <c r="N282" i="1"/>
  <c r="K282" i="1"/>
  <c r="P281" i="1"/>
  <c r="N281" i="1"/>
  <c r="K281" i="1"/>
  <c r="P280" i="1"/>
  <c r="N280" i="1"/>
  <c r="K280" i="1"/>
  <c r="P279" i="1"/>
  <c r="N279" i="1"/>
  <c r="K279" i="1"/>
  <c r="P278" i="1"/>
  <c r="N278" i="1"/>
  <c r="K278" i="1"/>
  <c r="P277" i="1"/>
  <c r="N277" i="1"/>
  <c r="K277" i="1"/>
  <c r="P276" i="1"/>
  <c r="N276" i="1"/>
  <c r="K276" i="1"/>
  <c r="P275" i="1"/>
  <c r="N275" i="1"/>
  <c r="K275" i="1"/>
  <c r="P274" i="1"/>
  <c r="N274" i="1"/>
  <c r="K274" i="1"/>
  <c r="P273" i="1"/>
  <c r="N273" i="1"/>
  <c r="K273" i="1"/>
  <c r="P272" i="1"/>
  <c r="N272" i="1"/>
  <c r="K272" i="1"/>
  <c r="P271" i="1"/>
  <c r="N271" i="1"/>
  <c r="K271" i="1"/>
  <c r="P270" i="1"/>
  <c r="N270" i="1"/>
  <c r="K270" i="1"/>
  <c r="P269" i="1"/>
  <c r="N269" i="1"/>
  <c r="K269" i="1"/>
  <c r="P268" i="1"/>
  <c r="N268" i="1"/>
  <c r="K268" i="1"/>
  <c r="P267" i="1"/>
  <c r="N267" i="1"/>
  <c r="K267" i="1"/>
  <c r="P266" i="1"/>
  <c r="N266" i="1"/>
  <c r="K266" i="1"/>
  <c r="P265" i="1"/>
  <c r="N265" i="1"/>
  <c r="K265" i="1"/>
  <c r="P264" i="1"/>
  <c r="N264" i="1"/>
  <c r="K264" i="1"/>
  <c r="P263" i="1"/>
  <c r="N263" i="1"/>
  <c r="K263" i="1"/>
  <c r="P262" i="1"/>
  <c r="N262" i="1"/>
  <c r="K262" i="1"/>
  <c r="P261" i="1"/>
  <c r="N261" i="1"/>
  <c r="K261" i="1"/>
  <c r="P260" i="1"/>
  <c r="N260" i="1"/>
  <c r="K260" i="1"/>
  <c r="P259" i="1"/>
  <c r="N259" i="1"/>
  <c r="K259" i="1"/>
  <c r="P258" i="1"/>
  <c r="N258" i="1"/>
  <c r="K258" i="1"/>
  <c r="P257" i="1"/>
  <c r="N257" i="1"/>
  <c r="K257" i="1"/>
  <c r="P256" i="1"/>
  <c r="N256" i="1"/>
  <c r="K256" i="1"/>
  <c r="P255" i="1"/>
  <c r="N255" i="1"/>
  <c r="K255" i="1"/>
  <c r="P254" i="1"/>
  <c r="N254" i="1"/>
  <c r="K254" i="1"/>
  <c r="P253" i="1"/>
  <c r="N253" i="1"/>
  <c r="K253" i="1"/>
  <c r="P252" i="1"/>
  <c r="N252" i="1"/>
  <c r="K252" i="1"/>
  <c r="P251" i="1"/>
  <c r="N251" i="1"/>
  <c r="K251" i="1"/>
  <c r="P250" i="1"/>
  <c r="N250" i="1"/>
  <c r="K250" i="1"/>
  <c r="P249" i="1"/>
  <c r="N249" i="1"/>
  <c r="K249" i="1"/>
  <c r="P248" i="1"/>
  <c r="N248" i="1"/>
  <c r="K248" i="1"/>
  <c r="P247" i="1"/>
  <c r="N247" i="1"/>
  <c r="K247" i="1"/>
  <c r="P246" i="1"/>
  <c r="N246" i="1"/>
  <c r="K246" i="1"/>
  <c r="P245" i="1"/>
  <c r="N245" i="1"/>
  <c r="K245" i="1"/>
  <c r="P244" i="1"/>
  <c r="N244" i="1"/>
  <c r="K244" i="1"/>
  <c r="P243" i="1"/>
  <c r="N243" i="1"/>
  <c r="K243" i="1"/>
  <c r="P242" i="1"/>
  <c r="N242" i="1"/>
  <c r="K242" i="1"/>
  <c r="P241" i="1"/>
  <c r="N241" i="1"/>
  <c r="K241" i="1"/>
  <c r="P240" i="1"/>
  <c r="N240" i="1"/>
  <c r="K240" i="1"/>
  <c r="P239" i="1"/>
  <c r="N239" i="1"/>
  <c r="K239" i="1"/>
  <c r="P238" i="1"/>
  <c r="N238" i="1"/>
  <c r="K238" i="1"/>
  <c r="P237" i="1"/>
  <c r="N237" i="1"/>
  <c r="K237" i="1"/>
  <c r="P236" i="1"/>
  <c r="N236" i="1"/>
  <c r="K236" i="1"/>
  <c r="P235" i="1"/>
  <c r="N235" i="1"/>
  <c r="K235" i="1"/>
  <c r="P234" i="1"/>
  <c r="N234" i="1"/>
  <c r="K234" i="1"/>
  <c r="P233" i="1"/>
  <c r="N233" i="1"/>
  <c r="K233" i="1"/>
  <c r="P232" i="1"/>
  <c r="N232" i="1"/>
  <c r="K232" i="1"/>
  <c r="P231" i="1"/>
  <c r="N231" i="1"/>
  <c r="K231" i="1"/>
  <c r="P230" i="1"/>
  <c r="N230" i="1"/>
  <c r="K230" i="1"/>
  <c r="P229" i="1"/>
  <c r="N229" i="1"/>
  <c r="K229" i="1"/>
  <c r="P228" i="1"/>
  <c r="N228" i="1"/>
  <c r="K228" i="1"/>
  <c r="P227" i="1"/>
  <c r="N227" i="1"/>
  <c r="K227" i="1"/>
  <c r="P226" i="1"/>
  <c r="N226" i="1"/>
  <c r="K226" i="1"/>
  <c r="P225" i="1"/>
  <c r="N225" i="1"/>
  <c r="K225" i="1"/>
  <c r="P224" i="1"/>
  <c r="N224" i="1"/>
  <c r="K224" i="1"/>
  <c r="P223" i="1"/>
  <c r="N223" i="1"/>
  <c r="K223" i="1"/>
  <c r="P222" i="1"/>
  <c r="N222" i="1"/>
  <c r="K222" i="1"/>
  <c r="P221" i="1"/>
  <c r="N221" i="1"/>
  <c r="K221" i="1"/>
  <c r="P220" i="1"/>
  <c r="N220" i="1"/>
  <c r="K220" i="1"/>
  <c r="P219" i="1"/>
  <c r="N219" i="1"/>
  <c r="K219" i="1"/>
  <c r="P218" i="1"/>
  <c r="N218" i="1"/>
  <c r="K218" i="1"/>
  <c r="P217" i="1"/>
  <c r="N217" i="1"/>
  <c r="K217" i="1"/>
  <c r="P216" i="1"/>
  <c r="N216" i="1"/>
  <c r="K216" i="1"/>
  <c r="P215" i="1"/>
  <c r="N215" i="1"/>
  <c r="K215" i="1"/>
  <c r="P214" i="1"/>
  <c r="N214" i="1"/>
  <c r="K214" i="1"/>
  <c r="P213" i="1"/>
  <c r="N213" i="1"/>
  <c r="K213" i="1"/>
  <c r="P212" i="1"/>
  <c r="N212" i="1"/>
  <c r="K212" i="1"/>
  <c r="P211" i="1"/>
  <c r="N211" i="1"/>
  <c r="K211" i="1"/>
  <c r="P210" i="1"/>
  <c r="N210" i="1"/>
  <c r="K210" i="1"/>
  <c r="P209" i="1"/>
  <c r="N209" i="1"/>
  <c r="K209" i="1"/>
  <c r="P208" i="1"/>
  <c r="N208" i="1"/>
  <c r="K208" i="1"/>
  <c r="P207" i="1"/>
  <c r="N207" i="1"/>
  <c r="K207" i="1"/>
  <c r="P206" i="1"/>
  <c r="N206" i="1"/>
  <c r="K206" i="1"/>
  <c r="P205" i="1"/>
  <c r="N205" i="1"/>
  <c r="K205" i="1"/>
  <c r="P204" i="1"/>
  <c r="N204" i="1"/>
  <c r="K204" i="1"/>
  <c r="P203" i="1"/>
  <c r="N203" i="1"/>
  <c r="K203" i="1"/>
  <c r="P202" i="1"/>
  <c r="N202" i="1"/>
  <c r="K202" i="1"/>
  <c r="P201" i="1"/>
  <c r="N201" i="1"/>
  <c r="K201" i="1"/>
  <c r="P200" i="1"/>
  <c r="N200" i="1"/>
  <c r="K200" i="1"/>
  <c r="P199" i="1"/>
  <c r="N199" i="1"/>
  <c r="K199" i="1"/>
  <c r="P198" i="1"/>
  <c r="N198" i="1"/>
  <c r="K198" i="1"/>
  <c r="P197" i="1"/>
  <c r="N197" i="1"/>
  <c r="K197" i="1"/>
  <c r="P196" i="1"/>
  <c r="N196" i="1"/>
  <c r="K196" i="1"/>
  <c r="P195" i="1"/>
  <c r="N195" i="1"/>
  <c r="K195" i="1"/>
  <c r="P194" i="1"/>
  <c r="N194" i="1"/>
  <c r="K194" i="1"/>
  <c r="P193" i="1"/>
  <c r="N193" i="1"/>
  <c r="K193" i="1"/>
  <c r="P192" i="1"/>
  <c r="N192" i="1"/>
  <c r="K192" i="1"/>
  <c r="P191" i="1"/>
  <c r="N191" i="1"/>
  <c r="K191" i="1"/>
  <c r="P190" i="1"/>
  <c r="N190" i="1"/>
  <c r="K190" i="1"/>
  <c r="P189" i="1"/>
  <c r="N189" i="1"/>
  <c r="K189" i="1"/>
  <c r="P188" i="1"/>
  <c r="N188" i="1"/>
  <c r="K188" i="1"/>
  <c r="P187" i="1"/>
  <c r="N187" i="1"/>
  <c r="K187" i="1"/>
  <c r="P186" i="1"/>
  <c r="N186" i="1"/>
  <c r="K186" i="1"/>
  <c r="P185" i="1"/>
  <c r="N185" i="1"/>
  <c r="K185" i="1"/>
  <c r="P184" i="1"/>
  <c r="N184" i="1"/>
  <c r="K184" i="1"/>
  <c r="P183" i="1"/>
  <c r="N183" i="1"/>
  <c r="K183" i="1"/>
  <c r="P182" i="1"/>
  <c r="N182" i="1"/>
  <c r="K182" i="1"/>
  <c r="P181" i="1"/>
  <c r="N181" i="1"/>
  <c r="K181" i="1"/>
  <c r="P180" i="1"/>
  <c r="N180" i="1"/>
  <c r="K180" i="1"/>
  <c r="P179" i="1"/>
  <c r="N179" i="1"/>
  <c r="K179" i="1"/>
  <c r="P178" i="1"/>
  <c r="N178" i="1"/>
  <c r="K178" i="1"/>
  <c r="P177" i="1"/>
  <c r="N177" i="1"/>
  <c r="K177" i="1"/>
  <c r="P176" i="1"/>
  <c r="N176" i="1"/>
  <c r="K176" i="1"/>
  <c r="P175" i="1"/>
  <c r="N175" i="1"/>
  <c r="K175" i="1"/>
  <c r="P174" i="1"/>
  <c r="N174" i="1"/>
  <c r="K174" i="1"/>
  <c r="P173" i="1"/>
  <c r="N173" i="1"/>
  <c r="K173" i="1"/>
  <c r="P172" i="1"/>
  <c r="N172" i="1"/>
  <c r="K172" i="1"/>
  <c r="P171" i="1"/>
  <c r="N171" i="1"/>
  <c r="K171" i="1"/>
  <c r="P170" i="1"/>
  <c r="N170" i="1"/>
  <c r="K170" i="1"/>
  <c r="P169" i="1"/>
  <c r="N169" i="1"/>
  <c r="K169" i="1"/>
  <c r="P168" i="1"/>
  <c r="N168" i="1"/>
  <c r="K168" i="1"/>
  <c r="P167" i="1"/>
  <c r="N167" i="1"/>
  <c r="K167" i="1"/>
  <c r="P166" i="1"/>
  <c r="N166" i="1"/>
  <c r="K166" i="1"/>
  <c r="P165" i="1"/>
  <c r="N165" i="1"/>
  <c r="K165" i="1"/>
  <c r="P164" i="1"/>
  <c r="N164" i="1"/>
  <c r="K164" i="1"/>
  <c r="P163" i="1"/>
  <c r="N163" i="1"/>
  <c r="K163" i="1"/>
  <c r="P162" i="1"/>
  <c r="N162" i="1"/>
  <c r="K162" i="1"/>
  <c r="P161" i="1"/>
  <c r="N161" i="1"/>
  <c r="K161" i="1"/>
  <c r="P160" i="1"/>
  <c r="N160" i="1"/>
  <c r="K160" i="1"/>
  <c r="P159" i="1"/>
  <c r="N159" i="1"/>
  <c r="K159" i="1"/>
  <c r="P158" i="1"/>
  <c r="N158" i="1"/>
  <c r="K158" i="1"/>
  <c r="P157" i="1"/>
  <c r="N157" i="1"/>
  <c r="K157" i="1"/>
  <c r="P156" i="1"/>
  <c r="N156" i="1"/>
  <c r="K156" i="1"/>
  <c r="P155" i="1"/>
  <c r="N155" i="1"/>
  <c r="K155" i="1"/>
  <c r="P154" i="1"/>
  <c r="N154" i="1"/>
  <c r="K154" i="1"/>
  <c r="P153" i="1"/>
  <c r="N153" i="1"/>
  <c r="K153" i="1"/>
  <c r="P152" i="1"/>
  <c r="N152" i="1"/>
  <c r="K152" i="1"/>
  <c r="P151" i="1"/>
  <c r="N151" i="1"/>
  <c r="K151" i="1"/>
  <c r="P150" i="1"/>
  <c r="N150" i="1"/>
  <c r="K150" i="1"/>
  <c r="P149" i="1"/>
  <c r="N149" i="1"/>
  <c r="K149" i="1"/>
  <c r="P148" i="1"/>
  <c r="N148" i="1"/>
  <c r="K148" i="1"/>
  <c r="P147" i="1"/>
  <c r="N147" i="1"/>
  <c r="K147" i="1"/>
  <c r="P146" i="1"/>
  <c r="N146" i="1"/>
  <c r="K146" i="1"/>
  <c r="P145" i="1"/>
  <c r="N145" i="1"/>
  <c r="K145" i="1"/>
  <c r="P144" i="1"/>
  <c r="N144" i="1"/>
  <c r="K144" i="1"/>
  <c r="P143" i="1"/>
  <c r="N143" i="1"/>
  <c r="K143" i="1"/>
  <c r="P142" i="1"/>
  <c r="N142" i="1"/>
  <c r="K142" i="1"/>
  <c r="P141" i="1"/>
  <c r="N141" i="1"/>
  <c r="K141" i="1"/>
  <c r="P140" i="1"/>
  <c r="N140" i="1"/>
  <c r="K140" i="1"/>
  <c r="P139" i="1"/>
  <c r="N139" i="1"/>
  <c r="K139" i="1"/>
  <c r="P138" i="1"/>
  <c r="N138" i="1"/>
  <c r="K138" i="1"/>
  <c r="P137" i="1"/>
  <c r="N137" i="1"/>
  <c r="K137" i="1"/>
  <c r="P136" i="1"/>
  <c r="N136" i="1"/>
  <c r="K136" i="1"/>
  <c r="P135" i="1"/>
  <c r="N135" i="1"/>
  <c r="K135" i="1"/>
  <c r="P134" i="1"/>
  <c r="N134" i="1"/>
  <c r="K134" i="1"/>
  <c r="P133" i="1"/>
  <c r="N133" i="1"/>
  <c r="K133" i="1"/>
  <c r="P132" i="1"/>
  <c r="N132" i="1"/>
  <c r="K132" i="1"/>
  <c r="P131" i="1"/>
  <c r="N131" i="1"/>
  <c r="K131" i="1"/>
  <c r="P130" i="1"/>
  <c r="N130" i="1"/>
  <c r="K130" i="1"/>
  <c r="P129" i="1"/>
  <c r="N129" i="1"/>
  <c r="K129" i="1"/>
  <c r="P128" i="1"/>
  <c r="N128" i="1"/>
  <c r="K128" i="1"/>
  <c r="P127" i="1"/>
  <c r="N127" i="1"/>
  <c r="K127" i="1"/>
  <c r="P126" i="1"/>
  <c r="N126" i="1"/>
  <c r="K126" i="1"/>
  <c r="P125" i="1"/>
  <c r="N125" i="1"/>
  <c r="K125" i="1"/>
  <c r="P124" i="1"/>
  <c r="N124" i="1"/>
  <c r="K124" i="1"/>
  <c r="P123" i="1"/>
  <c r="N123" i="1"/>
  <c r="K123" i="1"/>
  <c r="P122" i="1"/>
  <c r="N122" i="1"/>
  <c r="K122" i="1"/>
  <c r="P121" i="1"/>
  <c r="N121" i="1"/>
  <c r="K121" i="1"/>
  <c r="P120" i="1"/>
  <c r="N120" i="1"/>
  <c r="K120" i="1"/>
  <c r="P119" i="1"/>
  <c r="N119" i="1"/>
  <c r="K119" i="1"/>
  <c r="P118" i="1"/>
  <c r="N118" i="1"/>
  <c r="K118" i="1"/>
  <c r="P117" i="1"/>
  <c r="N117" i="1"/>
  <c r="K117" i="1"/>
  <c r="P116" i="1"/>
  <c r="N116" i="1"/>
  <c r="K116" i="1"/>
  <c r="P115" i="1"/>
  <c r="N115" i="1"/>
  <c r="K115" i="1"/>
  <c r="P114" i="1"/>
  <c r="N114" i="1"/>
  <c r="K114" i="1"/>
  <c r="P113" i="1"/>
  <c r="N113" i="1"/>
  <c r="K113" i="1"/>
  <c r="P112" i="1"/>
  <c r="N112" i="1"/>
  <c r="K112" i="1"/>
  <c r="P111" i="1"/>
  <c r="N111" i="1"/>
  <c r="K111" i="1"/>
  <c r="P110" i="1"/>
  <c r="N110" i="1"/>
  <c r="K110" i="1"/>
  <c r="P109" i="1"/>
  <c r="N109" i="1"/>
  <c r="K109" i="1"/>
  <c r="P108" i="1"/>
  <c r="N108" i="1"/>
  <c r="K108" i="1"/>
  <c r="P107" i="1"/>
  <c r="N107" i="1"/>
  <c r="K107" i="1"/>
  <c r="P106" i="1"/>
  <c r="N106" i="1"/>
  <c r="K106" i="1"/>
  <c r="P105" i="1"/>
  <c r="N105" i="1"/>
  <c r="K105" i="1"/>
  <c r="P104" i="1"/>
  <c r="N104" i="1"/>
  <c r="K104" i="1"/>
  <c r="P103" i="1"/>
  <c r="N103" i="1"/>
  <c r="K103" i="1"/>
  <c r="P102" i="1"/>
  <c r="N102" i="1"/>
  <c r="K102" i="1"/>
  <c r="P101" i="1"/>
  <c r="N101" i="1"/>
  <c r="K101" i="1"/>
  <c r="P100" i="1"/>
  <c r="N100" i="1"/>
  <c r="K100" i="1"/>
  <c r="P99" i="1"/>
  <c r="N99" i="1"/>
  <c r="K99" i="1"/>
  <c r="P98" i="1"/>
  <c r="N98" i="1"/>
  <c r="K98" i="1"/>
  <c r="P97" i="1"/>
  <c r="N97" i="1"/>
  <c r="K97" i="1"/>
  <c r="P96" i="1"/>
  <c r="N96" i="1"/>
  <c r="K96" i="1"/>
  <c r="P95" i="1"/>
  <c r="N95" i="1"/>
  <c r="K95" i="1"/>
  <c r="P94" i="1"/>
  <c r="N94" i="1"/>
  <c r="K94" i="1"/>
  <c r="P93" i="1"/>
  <c r="N93" i="1"/>
  <c r="K93" i="1"/>
  <c r="P92" i="1"/>
  <c r="N92" i="1"/>
  <c r="K92" i="1"/>
  <c r="P91" i="1"/>
  <c r="N91" i="1"/>
  <c r="K91" i="1"/>
  <c r="P90" i="1"/>
  <c r="N90" i="1"/>
  <c r="K90" i="1"/>
  <c r="P89" i="1"/>
  <c r="N89" i="1"/>
  <c r="K89" i="1"/>
  <c r="P88" i="1"/>
  <c r="N88" i="1"/>
  <c r="K88" i="1"/>
  <c r="P87" i="1"/>
  <c r="N87" i="1"/>
  <c r="K87" i="1"/>
  <c r="P86" i="1"/>
  <c r="N86" i="1"/>
  <c r="K86" i="1"/>
  <c r="P85" i="1"/>
  <c r="N85" i="1"/>
  <c r="K85" i="1"/>
  <c r="P84" i="1"/>
  <c r="N84" i="1"/>
  <c r="K84" i="1"/>
  <c r="P83" i="1"/>
  <c r="N83" i="1"/>
  <c r="K83" i="1"/>
  <c r="P82" i="1"/>
  <c r="N82" i="1"/>
  <c r="K82" i="1"/>
  <c r="P81" i="1"/>
  <c r="N81" i="1"/>
  <c r="K81" i="1"/>
  <c r="P80" i="1"/>
  <c r="N80" i="1"/>
  <c r="K80" i="1"/>
  <c r="P79" i="1"/>
  <c r="N79" i="1"/>
  <c r="K79" i="1"/>
  <c r="P78" i="1"/>
  <c r="N78" i="1"/>
  <c r="K78" i="1"/>
  <c r="P77" i="1"/>
  <c r="N77" i="1"/>
  <c r="K77" i="1"/>
  <c r="P76" i="1"/>
  <c r="N76" i="1"/>
  <c r="K76" i="1"/>
  <c r="P75" i="1"/>
  <c r="N75" i="1"/>
  <c r="K75" i="1"/>
  <c r="P74" i="1"/>
  <c r="N74" i="1"/>
  <c r="K74" i="1"/>
  <c r="P73" i="1"/>
  <c r="N73" i="1"/>
  <c r="K73" i="1"/>
  <c r="P72" i="1"/>
  <c r="N72" i="1"/>
  <c r="K72" i="1"/>
  <c r="P71" i="1"/>
  <c r="N71" i="1"/>
  <c r="K71" i="1"/>
  <c r="P70" i="1"/>
  <c r="N70" i="1"/>
  <c r="K70" i="1"/>
  <c r="P69" i="1"/>
  <c r="N69" i="1"/>
  <c r="K69" i="1"/>
  <c r="P68" i="1"/>
  <c r="N68" i="1"/>
  <c r="K68" i="1"/>
  <c r="P67" i="1"/>
  <c r="N67" i="1"/>
  <c r="K67" i="1"/>
  <c r="P66" i="1"/>
  <c r="N66" i="1"/>
  <c r="K66" i="1"/>
  <c r="P65" i="1"/>
  <c r="N65" i="1"/>
  <c r="K65" i="1"/>
  <c r="P64" i="1"/>
  <c r="N64" i="1"/>
  <c r="K64" i="1"/>
  <c r="P63" i="1"/>
  <c r="N63" i="1"/>
  <c r="K63" i="1"/>
  <c r="P62" i="1"/>
  <c r="N62" i="1"/>
  <c r="K62" i="1"/>
  <c r="P61" i="1"/>
  <c r="N61" i="1"/>
  <c r="K61" i="1"/>
  <c r="P60" i="1"/>
  <c r="N60" i="1"/>
  <c r="K60" i="1"/>
  <c r="P59" i="1"/>
  <c r="N59" i="1"/>
  <c r="K59" i="1"/>
  <c r="P58" i="1"/>
  <c r="N58" i="1"/>
  <c r="K58" i="1"/>
  <c r="P57" i="1"/>
  <c r="N57" i="1"/>
  <c r="K57" i="1"/>
  <c r="P56" i="1"/>
  <c r="N56" i="1"/>
  <c r="K56" i="1"/>
  <c r="P55" i="1"/>
  <c r="N55" i="1"/>
  <c r="K55" i="1"/>
  <c r="P54" i="1"/>
  <c r="N54" i="1"/>
  <c r="K54" i="1"/>
  <c r="P53" i="1"/>
  <c r="N53" i="1"/>
  <c r="K53" i="1"/>
  <c r="P52" i="1"/>
  <c r="N52" i="1"/>
  <c r="K52" i="1"/>
  <c r="P51" i="1"/>
  <c r="N51" i="1"/>
  <c r="K51" i="1"/>
  <c r="P50" i="1"/>
  <c r="N50" i="1"/>
  <c r="K50" i="1"/>
  <c r="P49" i="1"/>
  <c r="N49" i="1"/>
  <c r="K49" i="1"/>
  <c r="P48" i="1"/>
  <c r="N48" i="1"/>
  <c r="K48" i="1"/>
  <c r="P47" i="1"/>
  <c r="N47" i="1"/>
  <c r="K47" i="1"/>
  <c r="P46" i="1"/>
  <c r="N46" i="1"/>
  <c r="K46" i="1"/>
  <c r="P45" i="1"/>
  <c r="N45" i="1"/>
  <c r="K45" i="1"/>
  <c r="P44" i="1"/>
  <c r="N44" i="1"/>
  <c r="K44" i="1"/>
  <c r="P43" i="1"/>
  <c r="N43" i="1"/>
  <c r="K43" i="1"/>
  <c r="P42" i="1"/>
  <c r="N42" i="1"/>
  <c r="K42" i="1"/>
  <c r="P41" i="1"/>
  <c r="N41" i="1"/>
  <c r="K41" i="1"/>
  <c r="P40" i="1"/>
  <c r="N40" i="1"/>
  <c r="K40" i="1"/>
  <c r="P39" i="1"/>
  <c r="N39" i="1"/>
  <c r="K39" i="1"/>
  <c r="P38" i="1"/>
  <c r="N38" i="1"/>
  <c r="K38" i="1"/>
  <c r="P37" i="1"/>
  <c r="N37" i="1"/>
  <c r="K37" i="1"/>
  <c r="P36" i="1"/>
  <c r="N36" i="1"/>
  <c r="K36" i="1"/>
  <c r="P35" i="1"/>
  <c r="N35" i="1"/>
  <c r="K35" i="1"/>
  <c r="P34" i="1"/>
  <c r="N34" i="1"/>
  <c r="K34" i="1"/>
  <c r="P33" i="1"/>
  <c r="N33" i="1"/>
  <c r="K33" i="1"/>
  <c r="P32" i="1"/>
  <c r="N32" i="1"/>
  <c r="K32" i="1"/>
  <c r="P31" i="1"/>
  <c r="N31" i="1"/>
  <c r="K31" i="1"/>
  <c r="P30" i="1"/>
  <c r="N30" i="1"/>
  <c r="K30" i="1"/>
  <c r="P29" i="1"/>
  <c r="N29" i="1"/>
  <c r="K29" i="1"/>
  <c r="P28" i="1"/>
  <c r="N28" i="1"/>
  <c r="K28" i="1"/>
  <c r="P27" i="1"/>
  <c r="N27" i="1"/>
  <c r="K27" i="1"/>
  <c r="P26" i="1"/>
  <c r="N26" i="1"/>
  <c r="K26" i="1"/>
  <c r="P25" i="1"/>
  <c r="N25" i="1"/>
  <c r="K25" i="1"/>
  <c r="P24" i="1"/>
  <c r="N24" i="1"/>
  <c r="K24" i="1"/>
  <c r="P23" i="1"/>
  <c r="N23" i="1"/>
  <c r="K23" i="1"/>
  <c r="P22" i="1"/>
  <c r="N22" i="1"/>
  <c r="K22" i="1"/>
  <c r="P21" i="1"/>
  <c r="N21" i="1"/>
  <c r="K21" i="1"/>
  <c r="P20" i="1"/>
  <c r="N20" i="1"/>
  <c r="K20" i="1"/>
  <c r="P19" i="1"/>
  <c r="N19" i="1"/>
  <c r="K19" i="1"/>
  <c r="P18" i="1"/>
  <c r="N18" i="1"/>
  <c r="K18" i="1"/>
  <c r="P17" i="1"/>
  <c r="N17" i="1"/>
  <c r="K17" i="1"/>
  <c r="P16" i="1"/>
  <c r="N16" i="1"/>
  <c r="K16" i="1"/>
  <c r="P15" i="1"/>
  <c r="N15" i="1"/>
  <c r="K15" i="1"/>
  <c r="P14" i="1"/>
  <c r="N14" i="1"/>
  <c r="K14" i="1"/>
  <c r="P13" i="1"/>
  <c r="N13" i="1"/>
  <c r="K13" i="1"/>
  <c r="P12" i="1"/>
  <c r="N12" i="1"/>
  <c r="K12" i="1"/>
  <c r="P11" i="1"/>
  <c r="N11" i="1"/>
  <c r="K11" i="1"/>
  <c r="P10" i="1"/>
  <c r="N10" i="1"/>
  <c r="K10" i="1"/>
  <c r="P9" i="1"/>
  <c r="N9" i="1"/>
  <c r="K9" i="1"/>
  <c r="P8" i="1"/>
  <c r="N8" i="1"/>
  <c r="K8" i="1"/>
  <c r="P7" i="1"/>
  <c r="N7" i="1"/>
  <c r="K7" i="1"/>
  <c r="P6" i="1"/>
  <c r="N6" i="1"/>
  <c r="K6" i="1"/>
  <c r="P5" i="1"/>
  <c r="N5" i="1"/>
  <c r="K5" i="1"/>
  <c r="P4" i="1"/>
  <c r="N4" i="1"/>
  <c r="K4" i="1"/>
  <c r="P3" i="1"/>
  <c r="N3" i="1"/>
  <c r="K3" i="1"/>
  <c r="P2" i="1"/>
  <c r="N2" i="1"/>
  <c r="K2" i="1"/>
</calcChain>
</file>

<file path=xl/sharedStrings.xml><?xml version="1.0" encoding="utf-8"?>
<sst xmlns="http://schemas.openxmlformats.org/spreadsheetml/2006/main" count="3975" uniqueCount="52">
  <si>
    <t>Vendor_Name</t>
  </si>
  <si>
    <t>Order Year</t>
  </si>
  <si>
    <t>Item_Category</t>
  </si>
  <si>
    <t>Order_Status</t>
  </si>
  <si>
    <t>Quantity</t>
  </si>
  <si>
    <t>Unit_Price</t>
  </si>
  <si>
    <t>Negotiated_Price</t>
  </si>
  <si>
    <t>Defective_Units</t>
  </si>
  <si>
    <t>Compliance</t>
  </si>
  <si>
    <t>Total Spend</t>
  </si>
  <si>
    <t>Savings</t>
  </si>
  <si>
    <t>Defective_Rate</t>
  </si>
  <si>
    <t>Comp_rate</t>
  </si>
  <si>
    <t>Vendor_01</t>
  </si>
  <si>
    <t>Alpha_Inc</t>
  </si>
  <si>
    <t>Office Supplies</t>
  </si>
  <si>
    <t>Cancelled</t>
  </si>
  <si>
    <t>Yes</t>
  </si>
  <si>
    <t>Vendor_03</t>
  </si>
  <si>
    <t>Delta_Logistics</t>
  </si>
  <si>
    <t>Delivered</t>
  </si>
  <si>
    <t>Vendor_05</t>
  </si>
  <si>
    <t>Gamma_Co</t>
  </si>
  <si>
    <t>MRO</t>
  </si>
  <si>
    <t>Vendor_02</t>
  </si>
  <si>
    <t>Beta_Supplies</t>
  </si>
  <si>
    <t>Packaging</t>
  </si>
  <si>
    <t>Raw Materials</t>
  </si>
  <si>
    <t>No</t>
  </si>
  <si>
    <t>Vendor_04</t>
  </si>
  <si>
    <t>Epsilon_Group</t>
  </si>
  <si>
    <t>Partially Delivered</t>
  </si>
  <si>
    <t>Pending</t>
  </si>
  <si>
    <t>Electronics</t>
  </si>
  <si>
    <t>Row Labels</t>
  </si>
  <si>
    <t>Grand Total</t>
  </si>
  <si>
    <t>Sum of Negotiated_Price</t>
  </si>
  <si>
    <t>Sum of Defective_Units</t>
  </si>
  <si>
    <t>Sum of Unit_Price</t>
  </si>
  <si>
    <t>Sum of Status_rate</t>
  </si>
  <si>
    <t>Sum of Total Spend</t>
  </si>
  <si>
    <t>Sum of NegotiatedRate</t>
  </si>
  <si>
    <t>Sum of Comp_rate</t>
  </si>
  <si>
    <t>Sum of Order Year</t>
  </si>
  <si>
    <t>Column Labels</t>
  </si>
  <si>
    <t>Sum of Defective_Rate</t>
  </si>
  <si>
    <t>Negot_Rate</t>
  </si>
  <si>
    <t>Status_Rate</t>
  </si>
  <si>
    <t>Column1</t>
  </si>
  <si>
    <t>(blank)</t>
  </si>
  <si>
    <t>Sum of Quantity</t>
  </si>
  <si>
    <t>Average of Status_Rate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</si>
</sst>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9"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9" fontId="0" fillId="0" borderId="0" xfId="43" applyFont="1"/>
    <xf numFmtId="44" fontId="0" fillId="0" borderId="0" xfId="42"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6">
    <dxf>
      <numFmt numFmtId="13" formatCode="0%"/>
    </dxf>
    <dxf>
      <numFmt numFmtId="13" formatCode="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s>
  <tableStyles count="1" defaultTableStyle="TableStyleMedium2" defaultPivotStyle="PivotStyleLight16">
    <tableStyle name="Slicer Style 1" pivot="0" table="0" count="0" xr9:uid="{1FFF1672-F140-47DF-A210-69AAC0E00E8A}"/>
  </tableStyles>
  <colors>
    <mruColors>
      <color rgb="FFBE4D14"/>
      <color rgb="FF4C1F08"/>
      <color rgb="FF56D66E"/>
      <color rgb="FF6EBE8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[Vendor_Best.xlsx]PricingwiseAnalysis!PivotTable1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PricingwiseAnalysis!$B$3</c:f>
              <c:strCache>
                <c:ptCount val="1"/>
                <c:pt idx="0">
                  <c:v>Sum of Negotiated_Price</c:v>
                </c:pt>
              </c:strCache>
            </c:strRef>
          </c:tx>
          <c:spPr>
            <a:solidFill>
              <a:schemeClr val="accent1"/>
            </a:solidFill>
            <a:ln>
              <a:noFill/>
            </a:ln>
            <a:effectLst/>
            <a:sp3d/>
          </c:spPr>
          <c:invertIfNegative val="0"/>
          <c:cat>
            <c:strRef>
              <c:f>PricingwiseAnalysis!$A$4:$A$9</c:f>
              <c:strCache>
                <c:ptCount val="5"/>
                <c:pt idx="0">
                  <c:v>Alpha_Inc</c:v>
                </c:pt>
                <c:pt idx="1">
                  <c:v>Beta_Supplies</c:v>
                </c:pt>
                <c:pt idx="2">
                  <c:v>Delta_Logistics</c:v>
                </c:pt>
                <c:pt idx="3">
                  <c:v>Epsilon_Group</c:v>
                </c:pt>
                <c:pt idx="4">
                  <c:v>Gamma_Co</c:v>
                </c:pt>
              </c:strCache>
            </c:strRef>
          </c:cat>
          <c:val>
            <c:numRef>
              <c:f>PricingwiseAnalysis!$B$4:$B$9</c:f>
              <c:numCache>
                <c:formatCode>General</c:formatCode>
                <c:ptCount val="5"/>
                <c:pt idx="0">
                  <c:v>7564.3900000000031</c:v>
                </c:pt>
                <c:pt idx="1">
                  <c:v>8362.8300000000017</c:v>
                </c:pt>
                <c:pt idx="2">
                  <c:v>8874.6100000000042</c:v>
                </c:pt>
                <c:pt idx="3">
                  <c:v>9069.49</c:v>
                </c:pt>
                <c:pt idx="4">
                  <c:v>7823.0600000000013</c:v>
                </c:pt>
              </c:numCache>
            </c:numRef>
          </c:val>
          <c:extLst>
            <c:ext xmlns:c16="http://schemas.microsoft.com/office/drawing/2014/chart" uri="{C3380CC4-5D6E-409C-BE32-E72D297353CC}">
              <c16:uniqueId val="{00000000-0A50-44CC-9E99-71191287A205}"/>
            </c:ext>
          </c:extLst>
        </c:ser>
        <c:ser>
          <c:idx val="1"/>
          <c:order val="1"/>
          <c:tx>
            <c:strRef>
              <c:f>PricingwiseAnalysis!$C$3</c:f>
              <c:strCache>
                <c:ptCount val="1"/>
                <c:pt idx="0">
                  <c:v>Sum of Unit_Price</c:v>
                </c:pt>
              </c:strCache>
            </c:strRef>
          </c:tx>
          <c:spPr>
            <a:solidFill>
              <a:schemeClr val="accent2"/>
            </a:solidFill>
            <a:ln>
              <a:noFill/>
            </a:ln>
            <a:effectLst/>
            <a:sp3d/>
          </c:spPr>
          <c:invertIfNegative val="0"/>
          <c:cat>
            <c:strRef>
              <c:f>PricingwiseAnalysis!$A$4:$A$9</c:f>
              <c:strCache>
                <c:ptCount val="5"/>
                <c:pt idx="0">
                  <c:v>Alpha_Inc</c:v>
                </c:pt>
                <c:pt idx="1">
                  <c:v>Beta_Supplies</c:v>
                </c:pt>
                <c:pt idx="2">
                  <c:v>Delta_Logistics</c:v>
                </c:pt>
                <c:pt idx="3">
                  <c:v>Epsilon_Group</c:v>
                </c:pt>
                <c:pt idx="4">
                  <c:v>Gamma_Co</c:v>
                </c:pt>
              </c:strCache>
            </c:strRef>
          </c:cat>
          <c:val>
            <c:numRef>
              <c:f>PricingwiseAnalysis!$C$4:$C$9</c:f>
              <c:numCache>
                <c:formatCode>General</c:formatCode>
                <c:ptCount val="5"/>
                <c:pt idx="0">
                  <c:v>8232.5000000000036</c:v>
                </c:pt>
                <c:pt idx="1">
                  <c:v>9091.59</c:v>
                </c:pt>
                <c:pt idx="2">
                  <c:v>9616.3599999999969</c:v>
                </c:pt>
                <c:pt idx="3">
                  <c:v>9859.19</c:v>
                </c:pt>
                <c:pt idx="4">
                  <c:v>8486.8900000000012</c:v>
                </c:pt>
              </c:numCache>
            </c:numRef>
          </c:val>
          <c:extLst>
            <c:ext xmlns:c16="http://schemas.microsoft.com/office/drawing/2014/chart" uri="{C3380CC4-5D6E-409C-BE32-E72D297353CC}">
              <c16:uniqueId val="{00000003-0A50-44CC-9E99-71191287A205}"/>
            </c:ext>
          </c:extLst>
        </c:ser>
        <c:dLbls>
          <c:showLegendKey val="0"/>
          <c:showVal val="0"/>
          <c:showCatName val="0"/>
          <c:showSerName val="0"/>
          <c:showPercent val="0"/>
          <c:showBubbleSize val="0"/>
        </c:dLbls>
        <c:gapWidth val="150"/>
        <c:shape val="box"/>
        <c:axId val="1157169999"/>
        <c:axId val="1157170479"/>
        <c:axId val="0"/>
      </c:bar3DChart>
      <c:catAx>
        <c:axId val="1157169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70479"/>
        <c:crosses val="autoZero"/>
        <c:auto val="1"/>
        <c:lblAlgn val="ctr"/>
        <c:lblOffset val="100"/>
        <c:noMultiLvlLbl val="0"/>
      </c:catAx>
      <c:valAx>
        <c:axId val="1157170479"/>
        <c:scaling>
          <c:orientation val="minMax"/>
        </c:scaling>
        <c:delete val="1"/>
        <c:axPos val="l"/>
        <c:numFmt formatCode="General" sourceLinked="1"/>
        <c:majorTickMark val="out"/>
        <c:minorTickMark val="none"/>
        <c:tickLblPos val="nextTo"/>
        <c:crossAx val="115716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[Vendor_Best.xlsx]DeliverywiseAnalysis!PivotTable2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Deliverywise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DeliverywiseAnalysis!$B$1</c:f>
              <c:strCache>
                <c:ptCount val="1"/>
                <c:pt idx="0">
                  <c:v>Total</c:v>
                </c:pt>
              </c:strCache>
            </c:strRef>
          </c:tx>
          <c:spPr>
            <a:solidFill>
              <a:schemeClr val="accent1"/>
            </a:solidFill>
            <a:ln>
              <a:noFill/>
            </a:ln>
            <a:effectLst/>
          </c:spPr>
          <c:invertIfNegative val="0"/>
          <c:cat>
            <c:strRef>
              <c:f>DeliverywiseAnalysis!$A$2:$A$7</c:f>
              <c:strCache>
                <c:ptCount val="5"/>
                <c:pt idx="0">
                  <c:v>Alpha_Inc</c:v>
                </c:pt>
                <c:pt idx="1">
                  <c:v>Beta_Supplies</c:v>
                </c:pt>
                <c:pt idx="2">
                  <c:v>Delta_Logistics</c:v>
                </c:pt>
                <c:pt idx="3">
                  <c:v>Epsilon_Group</c:v>
                </c:pt>
                <c:pt idx="4">
                  <c:v>Gamma_Co</c:v>
                </c:pt>
              </c:strCache>
            </c:strRef>
          </c:cat>
          <c:val>
            <c:numRef>
              <c:f>DeliverywiseAnalysis!$B$2:$B$7</c:f>
              <c:numCache>
                <c:formatCode>General</c:formatCode>
                <c:ptCount val="5"/>
                <c:pt idx="0">
                  <c:v>8396.4539004279959</c:v>
                </c:pt>
                <c:pt idx="1">
                  <c:v>8221.7948714850027</c:v>
                </c:pt>
                <c:pt idx="2">
                  <c:v>8929.239766512017</c:v>
                </c:pt>
                <c:pt idx="3">
                  <c:v>9110.1777743900275</c:v>
                </c:pt>
                <c:pt idx="4">
                  <c:v>7849.6503499260052</c:v>
                </c:pt>
              </c:numCache>
            </c:numRef>
          </c:val>
          <c:extLst>
            <c:ext xmlns:c16="http://schemas.microsoft.com/office/drawing/2014/chart" uri="{C3380CC4-5D6E-409C-BE32-E72D297353CC}">
              <c16:uniqueId val="{00000000-B8C0-4640-BCAA-E6360908A6E0}"/>
            </c:ext>
          </c:extLst>
        </c:ser>
        <c:dLbls>
          <c:showLegendKey val="0"/>
          <c:showVal val="0"/>
          <c:showCatName val="0"/>
          <c:showSerName val="0"/>
          <c:showPercent val="0"/>
          <c:showBubbleSize val="0"/>
        </c:dLbls>
        <c:gapWidth val="219"/>
        <c:overlap val="-27"/>
        <c:axId val="1457393007"/>
        <c:axId val="1457393487"/>
      </c:barChart>
      <c:catAx>
        <c:axId val="145739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93487"/>
        <c:crosses val="autoZero"/>
        <c:auto val="1"/>
        <c:lblAlgn val="ctr"/>
        <c:lblOffset val="100"/>
        <c:noMultiLvlLbl val="0"/>
      </c:catAx>
      <c:valAx>
        <c:axId val="145739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[Vendor_Best.xlsx]QualitywiseAnalysis!PivotTable3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QualitywiseAnalysis!$G$11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6-4933-9661-28D90C9A6C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6-4933-9661-28D90C9A6C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6-4933-9661-28D90C9A6C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36-4933-9661-28D90C9A6C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36-4933-9661-28D90C9A6C6F}"/>
              </c:ext>
            </c:extLst>
          </c:dPt>
          <c:cat>
            <c:strRef>
              <c:f>QualitywiseAnalysis!$F$12:$F$17</c:f>
              <c:strCache>
                <c:ptCount val="5"/>
                <c:pt idx="0">
                  <c:v>Alpha_Inc</c:v>
                </c:pt>
                <c:pt idx="1">
                  <c:v>Beta_Supplies</c:v>
                </c:pt>
                <c:pt idx="2">
                  <c:v>Delta_Logistics</c:v>
                </c:pt>
                <c:pt idx="3">
                  <c:v>Epsilon_Group</c:v>
                </c:pt>
                <c:pt idx="4">
                  <c:v>Gamma_Co</c:v>
                </c:pt>
              </c:strCache>
            </c:strRef>
          </c:cat>
          <c:val>
            <c:numRef>
              <c:f>QualitywiseAnalysis!$G$12:$G$17</c:f>
              <c:numCache>
                <c:formatCode>General</c:formatCode>
                <c:ptCount val="5"/>
                <c:pt idx="0">
                  <c:v>3389</c:v>
                </c:pt>
                <c:pt idx="1">
                  <c:v>16358</c:v>
                </c:pt>
                <c:pt idx="2">
                  <c:v>26498</c:v>
                </c:pt>
                <c:pt idx="3">
                  <c:v>5507</c:v>
                </c:pt>
                <c:pt idx="4">
                  <c:v>7859</c:v>
                </c:pt>
              </c:numCache>
            </c:numRef>
          </c:val>
          <c:extLst>
            <c:ext xmlns:c16="http://schemas.microsoft.com/office/drawing/2014/chart" uri="{C3380CC4-5D6E-409C-BE32-E72D297353CC}">
              <c16:uniqueId val="{00000000-7799-467E-A9CC-FD7C99B085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[Vendor_Best.xlsx]ProcurementwiseAnalysis!PivotTable4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Procurementwise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ProcurementwiseAnalysis!$B$4</c:f>
              <c:strCache>
                <c:ptCount val="1"/>
                <c:pt idx="0">
                  <c:v>Total</c:v>
                </c:pt>
              </c:strCache>
            </c:strRef>
          </c:tx>
          <c:spPr>
            <a:solidFill>
              <a:schemeClr val="accent1"/>
            </a:solidFill>
            <a:ln>
              <a:noFill/>
            </a:ln>
            <a:effectLst/>
            <a:sp3d/>
          </c:spPr>
          <c:invertIfNegative val="0"/>
          <c:cat>
            <c:strRef>
              <c:f>ProcurementwiseAnalysis!$A$5:$A$10</c:f>
              <c:strCache>
                <c:ptCount val="5"/>
                <c:pt idx="0">
                  <c:v>Alpha_Inc</c:v>
                </c:pt>
                <c:pt idx="1">
                  <c:v>Beta_Supplies</c:v>
                </c:pt>
                <c:pt idx="2">
                  <c:v>Delta_Logistics</c:v>
                </c:pt>
                <c:pt idx="3">
                  <c:v>Epsilon_Group</c:v>
                </c:pt>
                <c:pt idx="4">
                  <c:v>Gamma_Co</c:v>
                </c:pt>
              </c:strCache>
            </c:strRef>
          </c:cat>
          <c:val>
            <c:numRef>
              <c:f>ProcurementwiseAnalysis!$B$5:$B$10</c:f>
              <c:numCache>
                <c:formatCode>General</c:formatCode>
                <c:ptCount val="5"/>
                <c:pt idx="0">
                  <c:v>7839712.2500000028</c:v>
                </c:pt>
                <c:pt idx="1">
                  <c:v>9858665.9000000022</c:v>
                </c:pt>
                <c:pt idx="2">
                  <c:v>9236240.4699999988</c:v>
                </c:pt>
                <c:pt idx="3">
                  <c:v>9851156.0600000024</c:v>
                </c:pt>
                <c:pt idx="4">
                  <c:v>8587921.7099999972</c:v>
                </c:pt>
              </c:numCache>
            </c:numRef>
          </c:val>
          <c:extLst>
            <c:ext xmlns:c16="http://schemas.microsoft.com/office/drawing/2014/chart" uri="{C3380CC4-5D6E-409C-BE32-E72D297353CC}">
              <c16:uniqueId val="{00000000-9F02-4565-8EC9-1841E653DFDD}"/>
            </c:ext>
          </c:extLst>
        </c:ser>
        <c:dLbls>
          <c:showLegendKey val="0"/>
          <c:showVal val="0"/>
          <c:showCatName val="0"/>
          <c:showSerName val="0"/>
          <c:showPercent val="0"/>
          <c:showBubbleSize val="0"/>
        </c:dLbls>
        <c:gapWidth val="150"/>
        <c:shape val="box"/>
        <c:axId val="1449646671"/>
        <c:axId val="1494652271"/>
        <c:axId val="0"/>
      </c:bar3DChart>
      <c:catAx>
        <c:axId val="144964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52271"/>
        <c:crosses val="autoZero"/>
        <c:auto val="1"/>
        <c:lblAlgn val="ctr"/>
        <c:lblOffset val="100"/>
        <c:noMultiLvlLbl val="0"/>
      </c:catAx>
      <c:valAx>
        <c:axId val="149465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4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[Vendor_Best.xlsx]NegotiatedAnalysis!PivotTable5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Negotiated</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20545008245428E-2"/>
          <c:y val="0.28274149819402306"/>
          <c:w val="0.72324901583107903"/>
          <c:h val="0.30325927921596824"/>
        </c:manualLayout>
      </c:layout>
      <c:lineChart>
        <c:grouping val="standard"/>
        <c:varyColors val="0"/>
        <c:ser>
          <c:idx val="0"/>
          <c:order val="0"/>
          <c:tx>
            <c:strRef>
              <c:f>NegotiatedAnalysis!$B$4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NegotiatedAnalysis!$A$5:$A$10</c:f>
              <c:strCache>
                <c:ptCount val="5"/>
                <c:pt idx="0">
                  <c:v>Alpha_Inc</c:v>
                </c:pt>
                <c:pt idx="1">
                  <c:v>Beta_Supplies</c:v>
                </c:pt>
                <c:pt idx="2">
                  <c:v>Delta_Logistics</c:v>
                </c:pt>
                <c:pt idx="3">
                  <c:v>Epsilon_Group</c:v>
                </c:pt>
                <c:pt idx="4">
                  <c:v>Gamma_Co</c:v>
                </c:pt>
              </c:strCache>
            </c:strRef>
          </c:cat>
          <c:val>
            <c:numRef>
              <c:f>NegotiatedAnalysis!$B$5:$B$10</c:f>
              <c:numCache>
                <c:formatCode>General</c:formatCode>
                <c:ptCount val="5"/>
                <c:pt idx="0">
                  <c:v>27.999999999999993</c:v>
                </c:pt>
                <c:pt idx="1">
                  <c:v>25.570000000000011</c:v>
                </c:pt>
                <c:pt idx="2">
                  <c:v>32.819999999999986</c:v>
                </c:pt>
                <c:pt idx="3">
                  <c:v>29.719999999999985</c:v>
                </c:pt>
                <c:pt idx="4">
                  <c:v>20.450000000000003</c:v>
                </c:pt>
              </c:numCache>
            </c:numRef>
          </c:val>
          <c:smooth val="0"/>
          <c:extLst>
            <c:ext xmlns:c16="http://schemas.microsoft.com/office/drawing/2014/chart" uri="{C3380CC4-5D6E-409C-BE32-E72D297353CC}">
              <c16:uniqueId val="{00000000-91DB-4E92-8709-683A18B817B6}"/>
            </c:ext>
          </c:extLst>
        </c:ser>
        <c:dLbls>
          <c:showLegendKey val="0"/>
          <c:showVal val="0"/>
          <c:showCatName val="0"/>
          <c:showSerName val="0"/>
          <c:showPercent val="0"/>
          <c:showBubbleSize val="0"/>
        </c:dLbls>
        <c:marker val="1"/>
        <c:smooth val="0"/>
        <c:axId val="1065342591"/>
        <c:axId val="1065339711"/>
      </c:lineChart>
      <c:catAx>
        <c:axId val="106534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39711"/>
        <c:crosses val="autoZero"/>
        <c:auto val="1"/>
        <c:lblAlgn val="ctr"/>
        <c:lblOffset val="100"/>
        <c:noMultiLvlLbl val="0"/>
      </c:catAx>
      <c:valAx>
        <c:axId val="106533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4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[Vendor_Best.xlsx]ReliabilityAnalysis!PivotTable6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Reliabilitywise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ReliabilityAnalysis!$B$3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15-473C-8E1F-3A58A47D14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15-473C-8E1F-3A58A47D14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15-473C-8E1F-3A58A47D14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CEDE-47FB-927A-B30D2DE6D6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15-473C-8E1F-3A58A47D14B8}"/>
              </c:ext>
            </c:extLst>
          </c:dPt>
          <c:cat>
            <c:strRef>
              <c:f>ReliabilityAnalysis!$A$4:$A$9</c:f>
              <c:strCache>
                <c:ptCount val="5"/>
                <c:pt idx="0">
                  <c:v>Alpha_Inc</c:v>
                </c:pt>
                <c:pt idx="1">
                  <c:v>Beta_Supplies</c:v>
                </c:pt>
                <c:pt idx="2">
                  <c:v>Delta_Logistics</c:v>
                </c:pt>
                <c:pt idx="3">
                  <c:v>Epsilon_Group</c:v>
                </c:pt>
                <c:pt idx="4">
                  <c:v>Gamma_Co</c:v>
                </c:pt>
              </c:strCache>
            </c:strRef>
          </c:cat>
          <c:val>
            <c:numRef>
              <c:f>ReliabilityAnalysis!$B$4:$B$9</c:f>
              <c:numCache>
                <c:formatCode>General</c:formatCode>
                <c:ptCount val="5"/>
                <c:pt idx="0">
                  <c:v>124.61999999999981</c:v>
                </c:pt>
                <c:pt idx="1">
                  <c:v>98.280000000000101</c:v>
                </c:pt>
                <c:pt idx="2">
                  <c:v>89.57</c:v>
                </c:pt>
                <c:pt idx="3">
                  <c:v>160.63999999999982</c:v>
                </c:pt>
                <c:pt idx="4">
                  <c:v>108.57999999999996</c:v>
                </c:pt>
              </c:numCache>
            </c:numRef>
          </c:val>
          <c:extLst>
            <c:ext xmlns:c16="http://schemas.microsoft.com/office/drawing/2014/chart" uri="{C3380CC4-5D6E-409C-BE32-E72D297353CC}">
              <c16:uniqueId val="{00000000-CEDE-47FB-927A-B30D2DE6D6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[Vendor_Best.xlsx]YearlywiseAnalysis!PivotTable7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YearlywiseAnalysis!$B$3:$B$4</c:f>
              <c:strCache>
                <c:ptCount val="1"/>
                <c:pt idx="0">
                  <c:v>Alpha_Inc</c:v>
                </c:pt>
              </c:strCache>
            </c:strRef>
          </c:tx>
          <c:spPr>
            <a:ln w="28575" cap="rnd">
              <a:solidFill>
                <a:schemeClr val="accent1"/>
              </a:solidFill>
              <a:round/>
            </a:ln>
            <a:effectLst/>
          </c:spPr>
          <c:marker>
            <c:symbol val="none"/>
          </c:marker>
          <c:cat>
            <c:strRef>
              <c:f>YearlywiseAnalysis!$A$5:$A$8</c:f>
              <c:strCache>
                <c:ptCount val="3"/>
                <c:pt idx="0">
                  <c:v>2022</c:v>
                </c:pt>
                <c:pt idx="1">
                  <c:v>2023</c:v>
                </c:pt>
                <c:pt idx="2">
                  <c:v>2024</c:v>
                </c:pt>
              </c:strCache>
            </c:strRef>
          </c:cat>
          <c:val>
            <c:numRef>
              <c:f>YearlywiseAnalysis!$B$5:$B$8</c:f>
              <c:numCache>
                <c:formatCode>General</c:formatCode>
                <c:ptCount val="3"/>
                <c:pt idx="0">
                  <c:v>157716</c:v>
                </c:pt>
                <c:pt idx="1">
                  <c:v>127449</c:v>
                </c:pt>
              </c:numCache>
            </c:numRef>
          </c:val>
          <c:smooth val="0"/>
          <c:extLst>
            <c:ext xmlns:c16="http://schemas.microsoft.com/office/drawing/2014/chart" uri="{C3380CC4-5D6E-409C-BE32-E72D297353CC}">
              <c16:uniqueId val="{00000000-AFE3-46A6-8BA3-431FE0F91C43}"/>
            </c:ext>
          </c:extLst>
        </c:ser>
        <c:ser>
          <c:idx val="1"/>
          <c:order val="1"/>
          <c:tx>
            <c:strRef>
              <c:f>YearlywiseAnalysis!$C$3:$C$4</c:f>
              <c:strCache>
                <c:ptCount val="1"/>
                <c:pt idx="0">
                  <c:v>Beta_Supplies</c:v>
                </c:pt>
              </c:strCache>
            </c:strRef>
          </c:tx>
          <c:spPr>
            <a:ln w="28575" cap="rnd">
              <a:solidFill>
                <a:schemeClr val="accent2"/>
              </a:solidFill>
              <a:round/>
            </a:ln>
            <a:effectLst/>
          </c:spPr>
          <c:marker>
            <c:symbol val="none"/>
          </c:marker>
          <c:cat>
            <c:strRef>
              <c:f>YearlywiseAnalysis!$A$5:$A$8</c:f>
              <c:strCache>
                <c:ptCount val="3"/>
                <c:pt idx="0">
                  <c:v>2022</c:v>
                </c:pt>
                <c:pt idx="1">
                  <c:v>2023</c:v>
                </c:pt>
                <c:pt idx="2">
                  <c:v>2024</c:v>
                </c:pt>
              </c:strCache>
            </c:strRef>
          </c:cat>
          <c:val>
            <c:numRef>
              <c:f>YearlywiseAnalysis!$C$5:$C$8</c:f>
              <c:numCache>
                <c:formatCode>General</c:formatCode>
                <c:ptCount val="3"/>
                <c:pt idx="0">
                  <c:v>143562</c:v>
                </c:pt>
                <c:pt idx="1">
                  <c:v>171955</c:v>
                </c:pt>
              </c:numCache>
            </c:numRef>
          </c:val>
          <c:smooth val="0"/>
          <c:extLst>
            <c:ext xmlns:c16="http://schemas.microsoft.com/office/drawing/2014/chart" uri="{C3380CC4-5D6E-409C-BE32-E72D297353CC}">
              <c16:uniqueId val="{00000000-C677-4145-A3C4-431EDDF9B7AD}"/>
            </c:ext>
          </c:extLst>
        </c:ser>
        <c:ser>
          <c:idx val="2"/>
          <c:order val="2"/>
          <c:tx>
            <c:strRef>
              <c:f>YearlywiseAnalysis!$D$3:$D$4</c:f>
              <c:strCache>
                <c:ptCount val="1"/>
                <c:pt idx="0">
                  <c:v>Delta_Logistics</c:v>
                </c:pt>
              </c:strCache>
            </c:strRef>
          </c:tx>
          <c:spPr>
            <a:ln w="28575" cap="rnd">
              <a:solidFill>
                <a:schemeClr val="accent3"/>
              </a:solidFill>
              <a:round/>
            </a:ln>
            <a:effectLst/>
          </c:spPr>
          <c:marker>
            <c:symbol val="none"/>
          </c:marker>
          <c:cat>
            <c:strRef>
              <c:f>YearlywiseAnalysis!$A$5:$A$8</c:f>
              <c:strCache>
                <c:ptCount val="3"/>
                <c:pt idx="0">
                  <c:v>2022</c:v>
                </c:pt>
                <c:pt idx="1">
                  <c:v>2023</c:v>
                </c:pt>
                <c:pt idx="2">
                  <c:v>2024</c:v>
                </c:pt>
              </c:strCache>
            </c:strRef>
          </c:cat>
          <c:val>
            <c:numRef>
              <c:f>YearlywiseAnalysis!$D$5:$D$8</c:f>
              <c:numCache>
                <c:formatCode>General</c:formatCode>
                <c:ptCount val="3"/>
                <c:pt idx="0">
                  <c:v>165804</c:v>
                </c:pt>
                <c:pt idx="1">
                  <c:v>178024</c:v>
                </c:pt>
                <c:pt idx="2">
                  <c:v>2024</c:v>
                </c:pt>
              </c:numCache>
            </c:numRef>
          </c:val>
          <c:smooth val="0"/>
          <c:extLst>
            <c:ext xmlns:c16="http://schemas.microsoft.com/office/drawing/2014/chart" uri="{C3380CC4-5D6E-409C-BE32-E72D297353CC}">
              <c16:uniqueId val="{00000001-C677-4145-A3C4-431EDDF9B7AD}"/>
            </c:ext>
          </c:extLst>
        </c:ser>
        <c:ser>
          <c:idx val="3"/>
          <c:order val="3"/>
          <c:tx>
            <c:strRef>
              <c:f>YearlywiseAnalysis!$E$3:$E$4</c:f>
              <c:strCache>
                <c:ptCount val="1"/>
                <c:pt idx="0">
                  <c:v>Epsilon_Group</c:v>
                </c:pt>
              </c:strCache>
            </c:strRef>
          </c:tx>
          <c:spPr>
            <a:ln w="28575" cap="rnd">
              <a:solidFill>
                <a:schemeClr val="accent4"/>
              </a:solidFill>
              <a:round/>
            </a:ln>
            <a:effectLst/>
          </c:spPr>
          <c:marker>
            <c:symbol val="none"/>
          </c:marker>
          <c:cat>
            <c:strRef>
              <c:f>YearlywiseAnalysis!$A$5:$A$8</c:f>
              <c:strCache>
                <c:ptCount val="3"/>
                <c:pt idx="0">
                  <c:v>2022</c:v>
                </c:pt>
                <c:pt idx="1">
                  <c:v>2023</c:v>
                </c:pt>
                <c:pt idx="2">
                  <c:v>2024</c:v>
                </c:pt>
              </c:strCache>
            </c:strRef>
          </c:cat>
          <c:val>
            <c:numRef>
              <c:f>YearlywiseAnalysis!$E$5:$E$8</c:f>
              <c:numCache>
                <c:formatCode>General</c:formatCode>
                <c:ptCount val="3"/>
                <c:pt idx="0">
                  <c:v>171870</c:v>
                </c:pt>
                <c:pt idx="1">
                  <c:v>163863</c:v>
                </c:pt>
              </c:numCache>
            </c:numRef>
          </c:val>
          <c:smooth val="0"/>
          <c:extLst>
            <c:ext xmlns:c16="http://schemas.microsoft.com/office/drawing/2014/chart" uri="{C3380CC4-5D6E-409C-BE32-E72D297353CC}">
              <c16:uniqueId val="{00000002-C677-4145-A3C4-431EDDF9B7AD}"/>
            </c:ext>
          </c:extLst>
        </c:ser>
        <c:ser>
          <c:idx val="4"/>
          <c:order val="4"/>
          <c:tx>
            <c:strRef>
              <c:f>YearlywiseAnalysis!$F$3:$F$4</c:f>
              <c:strCache>
                <c:ptCount val="1"/>
                <c:pt idx="0">
                  <c:v>Gamma_Co</c:v>
                </c:pt>
              </c:strCache>
            </c:strRef>
          </c:tx>
          <c:spPr>
            <a:ln w="28575" cap="rnd">
              <a:solidFill>
                <a:schemeClr val="accent5"/>
              </a:solidFill>
              <a:round/>
            </a:ln>
            <a:effectLst/>
          </c:spPr>
          <c:marker>
            <c:symbol val="none"/>
          </c:marker>
          <c:cat>
            <c:strRef>
              <c:f>YearlywiseAnalysis!$A$5:$A$8</c:f>
              <c:strCache>
                <c:ptCount val="3"/>
                <c:pt idx="0">
                  <c:v>2022</c:v>
                </c:pt>
                <c:pt idx="1">
                  <c:v>2023</c:v>
                </c:pt>
                <c:pt idx="2">
                  <c:v>2024</c:v>
                </c:pt>
              </c:strCache>
            </c:strRef>
          </c:cat>
          <c:val>
            <c:numRef>
              <c:f>YearlywiseAnalysis!$F$5:$F$8</c:f>
              <c:numCache>
                <c:formatCode>General</c:formatCode>
                <c:ptCount val="3"/>
                <c:pt idx="0">
                  <c:v>161760</c:v>
                </c:pt>
                <c:pt idx="1">
                  <c:v>125426</c:v>
                </c:pt>
                <c:pt idx="2">
                  <c:v>2024</c:v>
                </c:pt>
              </c:numCache>
            </c:numRef>
          </c:val>
          <c:smooth val="0"/>
          <c:extLst>
            <c:ext xmlns:c16="http://schemas.microsoft.com/office/drawing/2014/chart" uri="{C3380CC4-5D6E-409C-BE32-E72D297353CC}">
              <c16:uniqueId val="{00000003-C677-4145-A3C4-431EDDF9B7AD}"/>
            </c:ext>
          </c:extLst>
        </c:ser>
        <c:dLbls>
          <c:showLegendKey val="0"/>
          <c:showVal val="0"/>
          <c:showCatName val="0"/>
          <c:showSerName val="0"/>
          <c:showPercent val="0"/>
          <c:showBubbleSize val="0"/>
        </c:dLbls>
        <c:smooth val="0"/>
        <c:axId val="1462936383"/>
        <c:axId val="1462935423"/>
      </c:lineChart>
      <c:catAx>
        <c:axId val="146293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35423"/>
        <c:crosses val="autoZero"/>
        <c:auto val="1"/>
        <c:lblAlgn val="ctr"/>
        <c:lblOffset val="100"/>
        <c:noMultiLvlLbl val="0"/>
      </c:catAx>
      <c:valAx>
        <c:axId val="146293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93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[Vendor_Best.xlsx]DeliverywiseAnalysis!PivotTable2</c:name>
    <c:fmtId val="2"/>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Deliverywise Analysis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E4D1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DeliverywiseAnalysis!$B$1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DeliverywiseAnalysis!$A$2:$A$7</c:f>
              <c:strCache>
                <c:ptCount val="5"/>
                <c:pt idx="0">
                  <c:v>Alpha_Inc</c:v>
                </c:pt>
                <c:pt idx="1">
                  <c:v>Beta_Supplies</c:v>
                </c:pt>
                <c:pt idx="2">
                  <c:v>Delta_Logistics</c:v>
                </c:pt>
                <c:pt idx="3">
                  <c:v>Epsilon_Group</c:v>
                </c:pt>
                <c:pt idx="4">
                  <c:v>Gamma_Co</c:v>
                </c:pt>
              </c:strCache>
            </c:strRef>
          </c:cat>
          <c:val>
            <c:numRef>
              <c:f>DeliverywiseAnalysis!$B$2:$B$7</c:f>
              <c:numCache>
                <c:formatCode>General</c:formatCode>
                <c:ptCount val="5"/>
                <c:pt idx="0">
                  <c:v>8396.4539004279959</c:v>
                </c:pt>
                <c:pt idx="1">
                  <c:v>8221.7948714850027</c:v>
                </c:pt>
                <c:pt idx="2">
                  <c:v>8929.239766512017</c:v>
                </c:pt>
                <c:pt idx="3">
                  <c:v>9110.1777743900275</c:v>
                </c:pt>
                <c:pt idx="4">
                  <c:v>7849.6503499260052</c:v>
                </c:pt>
              </c:numCache>
            </c:numRef>
          </c:val>
          <c:extLst>
            <c:ext xmlns:c16="http://schemas.microsoft.com/office/drawing/2014/chart" uri="{C3380CC4-5D6E-409C-BE32-E72D297353CC}">
              <c16:uniqueId val="{00000000-8907-4CEE-A053-8B1F53A02016}"/>
            </c:ext>
          </c:extLst>
        </c:ser>
        <c:dLbls>
          <c:showLegendKey val="0"/>
          <c:showVal val="0"/>
          <c:showCatName val="0"/>
          <c:showSerName val="0"/>
          <c:showPercent val="0"/>
          <c:showBubbleSize val="0"/>
        </c:dLbls>
        <c:gapWidth val="100"/>
        <c:overlap val="-24"/>
        <c:axId val="1457393007"/>
        <c:axId val="1457393487"/>
      </c:barChart>
      <c:catAx>
        <c:axId val="1457393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393487"/>
        <c:crosses val="autoZero"/>
        <c:auto val="1"/>
        <c:lblAlgn val="ctr"/>
        <c:lblOffset val="100"/>
        <c:noMultiLvlLbl val="0"/>
      </c:catAx>
      <c:valAx>
        <c:axId val="1457393487"/>
        <c:scaling>
          <c:orientation val="minMax"/>
        </c:scaling>
        <c:delete val="1"/>
        <c:axPos val="l"/>
        <c:numFmt formatCode="General" sourceLinked="1"/>
        <c:majorTickMark val="none"/>
        <c:minorTickMark val="none"/>
        <c:tickLblPos val="nextTo"/>
        <c:crossAx val="14573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[Vendor_Best.xlsx]QualitywiseAnalysis!PivotTable3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QualitywiseAnalysis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QualitywiseAnalysis!$G$11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31-41E1-A28B-242FAF2A2B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31-41E1-A28B-242FAF2A2B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31-41E1-A28B-242FAF2A2B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31-41E1-A28B-242FAF2A2B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31-41E1-A28B-242FAF2A2B2E}"/>
              </c:ext>
            </c:extLst>
          </c:dPt>
          <c:cat>
            <c:strRef>
              <c:f>QualitywiseAnalysis!$F$12:$F$17</c:f>
              <c:strCache>
                <c:ptCount val="5"/>
                <c:pt idx="0">
                  <c:v>Alpha_Inc</c:v>
                </c:pt>
                <c:pt idx="1">
                  <c:v>Beta_Supplies</c:v>
                </c:pt>
                <c:pt idx="2">
                  <c:v>Delta_Logistics</c:v>
                </c:pt>
                <c:pt idx="3">
                  <c:v>Epsilon_Group</c:v>
                </c:pt>
                <c:pt idx="4">
                  <c:v>Gamma_Co</c:v>
                </c:pt>
              </c:strCache>
            </c:strRef>
          </c:cat>
          <c:val>
            <c:numRef>
              <c:f>QualitywiseAnalysis!$G$12:$G$17</c:f>
              <c:numCache>
                <c:formatCode>General</c:formatCode>
                <c:ptCount val="5"/>
                <c:pt idx="0">
                  <c:v>3389</c:v>
                </c:pt>
                <c:pt idx="1">
                  <c:v>16358</c:v>
                </c:pt>
                <c:pt idx="2">
                  <c:v>26498</c:v>
                </c:pt>
                <c:pt idx="3">
                  <c:v>5507</c:v>
                </c:pt>
                <c:pt idx="4">
                  <c:v>7859</c:v>
                </c:pt>
              </c:numCache>
            </c:numRef>
          </c:val>
          <c:extLst>
            <c:ext xmlns:c16="http://schemas.microsoft.com/office/drawing/2014/chart" uri="{C3380CC4-5D6E-409C-BE32-E72D297353CC}">
              <c16:uniqueId val="{0000000A-FD31-41E1-A28B-242FAF2A2B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[Vendor_Best.xlsx]ProcurementwiseAnalysis!PivotTable4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i="0" baseline="0"/>
              <a:t>Procurementwise Analysis</a:t>
            </a:r>
          </a:p>
        </c:rich>
      </c:tx>
      <c:layout>
        <c:manualLayout>
          <c:xMode val="edge"/>
          <c:yMode val="edge"/>
          <c:x val="0.20512817500825212"/>
          <c:y val="0.1624533775383340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E4D1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ProcurementwiseAnalysis!$B$4</c:f>
              <c:strCache>
                <c:ptCount val="1"/>
                <c:pt idx="0">
                  <c:v>Total</c:v>
                </c:pt>
              </c:strCache>
            </c:strRef>
          </c:tx>
          <c:spPr>
            <a:solidFill>
              <a:srgbClr val="BE4D14"/>
            </a:solidFill>
            <a:ln>
              <a:noFill/>
            </a:ln>
            <a:effectLst/>
            <a:sp3d/>
          </c:spPr>
          <c:invertIfNegative val="0"/>
          <c:cat>
            <c:strRef>
              <c:f>ProcurementwiseAnalysis!$A$5:$A$10</c:f>
              <c:strCache>
                <c:ptCount val="5"/>
                <c:pt idx="0">
                  <c:v>Alpha_Inc</c:v>
                </c:pt>
                <c:pt idx="1">
                  <c:v>Beta_Supplies</c:v>
                </c:pt>
                <c:pt idx="2">
                  <c:v>Delta_Logistics</c:v>
                </c:pt>
                <c:pt idx="3">
                  <c:v>Epsilon_Group</c:v>
                </c:pt>
                <c:pt idx="4">
                  <c:v>Gamma_Co</c:v>
                </c:pt>
              </c:strCache>
            </c:strRef>
          </c:cat>
          <c:val>
            <c:numRef>
              <c:f>ProcurementwiseAnalysis!$B$5:$B$10</c:f>
              <c:numCache>
                <c:formatCode>General</c:formatCode>
                <c:ptCount val="5"/>
                <c:pt idx="0">
                  <c:v>7839712.2500000028</c:v>
                </c:pt>
                <c:pt idx="1">
                  <c:v>9858665.9000000022</c:v>
                </c:pt>
                <c:pt idx="2">
                  <c:v>9236240.4699999988</c:v>
                </c:pt>
                <c:pt idx="3">
                  <c:v>9851156.0600000024</c:v>
                </c:pt>
                <c:pt idx="4">
                  <c:v>8587921.7099999972</c:v>
                </c:pt>
              </c:numCache>
            </c:numRef>
          </c:val>
          <c:extLst>
            <c:ext xmlns:c16="http://schemas.microsoft.com/office/drawing/2014/chart" uri="{C3380CC4-5D6E-409C-BE32-E72D297353CC}">
              <c16:uniqueId val="{00000000-EE68-499F-A739-442FABAD5F78}"/>
            </c:ext>
          </c:extLst>
        </c:ser>
        <c:dLbls>
          <c:showLegendKey val="0"/>
          <c:showVal val="0"/>
          <c:showCatName val="0"/>
          <c:showSerName val="0"/>
          <c:showPercent val="0"/>
          <c:showBubbleSize val="0"/>
        </c:dLbls>
        <c:gapWidth val="150"/>
        <c:shape val="box"/>
        <c:axId val="1449646671"/>
        <c:axId val="1494652271"/>
        <c:axId val="0"/>
      </c:bar3DChart>
      <c:catAx>
        <c:axId val="144964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52271"/>
        <c:crosses val="autoZero"/>
        <c:auto val="1"/>
        <c:lblAlgn val="ctr"/>
        <c:lblOffset val="100"/>
        <c:noMultiLvlLbl val="0"/>
      </c:catAx>
      <c:valAx>
        <c:axId val="1494652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64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[Vendor_Best.xlsx]NegotiatedAnalysis!PivotTable5</c:name>
    <c:fmtId val="2"/>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Negotiated Analysis</a:t>
            </a:r>
          </a:p>
        </c:rich>
      </c:tx>
      <c:layout>
        <c:manualLayout>
          <c:xMode val="edge"/>
          <c:yMode val="edge"/>
          <c:x val="0.27431187032651844"/>
          <c:y val="0.1276455533107084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BE4D14"/>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120545008245428E-2"/>
          <c:y val="0.28274149819402306"/>
          <c:w val="0.72324901583107903"/>
          <c:h val="0.30325927921596824"/>
        </c:manualLayout>
      </c:layout>
      <c:lineChart>
        <c:grouping val="standard"/>
        <c:varyColors val="0"/>
        <c:ser>
          <c:idx val="0"/>
          <c:order val="0"/>
          <c:tx>
            <c:strRef>
              <c:f>NegotiatedAnalysis!$B$4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BE4D14"/>
              </a:solidFill>
              <a:ln w="9525">
                <a:solidFill>
                  <a:schemeClr val="accent1"/>
                </a:solidFill>
                <a:round/>
              </a:ln>
              <a:effectLst>
                <a:outerShdw blurRad="57150" dist="19050" dir="5400000" algn="ctr" rotWithShape="0">
                  <a:srgbClr val="000000">
                    <a:alpha val="63000"/>
                  </a:srgbClr>
                </a:outerShdw>
              </a:effectLst>
            </c:spPr>
          </c:marker>
          <c:cat>
            <c:strRef>
              <c:f>NegotiatedAnalysis!$A$5:$A$10</c:f>
              <c:strCache>
                <c:ptCount val="5"/>
                <c:pt idx="0">
                  <c:v>Alpha_Inc</c:v>
                </c:pt>
                <c:pt idx="1">
                  <c:v>Beta_Supplies</c:v>
                </c:pt>
                <c:pt idx="2">
                  <c:v>Delta_Logistics</c:v>
                </c:pt>
                <c:pt idx="3">
                  <c:v>Epsilon_Group</c:v>
                </c:pt>
                <c:pt idx="4">
                  <c:v>Gamma_Co</c:v>
                </c:pt>
              </c:strCache>
            </c:strRef>
          </c:cat>
          <c:val>
            <c:numRef>
              <c:f>NegotiatedAnalysis!$B$5:$B$10</c:f>
              <c:numCache>
                <c:formatCode>General</c:formatCode>
                <c:ptCount val="5"/>
                <c:pt idx="0">
                  <c:v>27.999999999999993</c:v>
                </c:pt>
                <c:pt idx="1">
                  <c:v>25.570000000000011</c:v>
                </c:pt>
                <c:pt idx="2">
                  <c:v>32.819999999999986</c:v>
                </c:pt>
                <c:pt idx="3">
                  <c:v>29.719999999999985</c:v>
                </c:pt>
                <c:pt idx="4">
                  <c:v>20.450000000000003</c:v>
                </c:pt>
              </c:numCache>
            </c:numRef>
          </c:val>
          <c:smooth val="0"/>
          <c:extLst>
            <c:ext xmlns:c16="http://schemas.microsoft.com/office/drawing/2014/chart" uri="{C3380CC4-5D6E-409C-BE32-E72D297353CC}">
              <c16:uniqueId val="{00000000-361B-46E9-9100-7BD5898B98C9}"/>
            </c:ext>
          </c:extLst>
        </c:ser>
        <c:dLbls>
          <c:showLegendKey val="0"/>
          <c:showVal val="0"/>
          <c:showCatName val="0"/>
          <c:showSerName val="0"/>
          <c:showPercent val="0"/>
          <c:showBubbleSize val="0"/>
        </c:dLbls>
        <c:marker val="1"/>
        <c:smooth val="0"/>
        <c:axId val="1065342591"/>
        <c:axId val="1065339711"/>
      </c:lineChart>
      <c:catAx>
        <c:axId val="1065342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39711"/>
        <c:crosses val="autoZero"/>
        <c:auto val="1"/>
        <c:lblAlgn val="ctr"/>
        <c:lblOffset val="100"/>
        <c:noMultiLvlLbl val="0"/>
      </c:catAx>
      <c:valAx>
        <c:axId val="106533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34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[Vendor_Best.xlsx]ReliabilityAnalysis!PivotTable6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Reliabilitywise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ReliabilityAnalysis!$B$3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8F-41EF-94B6-7AE9B503CE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8F-41EF-94B6-7AE9B503CE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8F-41EF-94B6-7AE9B503CE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8F-41EF-94B6-7AE9B503CE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8F-41EF-94B6-7AE9B503CE78}"/>
              </c:ext>
            </c:extLst>
          </c:dPt>
          <c:cat>
            <c:strRef>
              <c:f>ReliabilityAnalysis!$A$4:$A$9</c:f>
              <c:strCache>
                <c:ptCount val="5"/>
                <c:pt idx="0">
                  <c:v>Alpha_Inc</c:v>
                </c:pt>
                <c:pt idx="1">
                  <c:v>Beta_Supplies</c:v>
                </c:pt>
                <c:pt idx="2">
                  <c:v>Delta_Logistics</c:v>
                </c:pt>
                <c:pt idx="3">
                  <c:v>Epsilon_Group</c:v>
                </c:pt>
                <c:pt idx="4">
                  <c:v>Gamma_Co</c:v>
                </c:pt>
              </c:strCache>
            </c:strRef>
          </c:cat>
          <c:val>
            <c:numRef>
              <c:f>ReliabilityAnalysis!$B$4:$B$9</c:f>
              <c:numCache>
                <c:formatCode>General</c:formatCode>
                <c:ptCount val="5"/>
                <c:pt idx="0">
                  <c:v>124.61999999999981</c:v>
                </c:pt>
                <c:pt idx="1">
                  <c:v>98.280000000000101</c:v>
                </c:pt>
                <c:pt idx="2">
                  <c:v>89.57</c:v>
                </c:pt>
                <c:pt idx="3">
                  <c:v>160.63999999999982</c:v>
                </c:pt>
                <c:pt idx="4">
                  <c:v>108.57999999999996</c:v>
                </c:pt>
              </c:numCache>
            </c:numRef>
          </c:val>
          <c:extLst>
            <c:ext xmlns:c16="http://schemas.microsoft.com/office/drawing/2014/chart" uri="{C3380CC4-5D6E-409C-BE32-E72D297353CC}">
              <c16:uniqueId val="{0000000A-F88F-41EF-94B6-7AE9B503CE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[Vendor_Best.xlsx]PricingwiseAnalysis!PivotTable1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PricingwiseAnalysis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PricingwiseAnalysis!$B$3</c:f>
              <c:strCache>
                <c:ptCount val="1"/>
                <c:pt idx="0">
                  <c:v>Sum of Negotiated_Price</c:v>
                </c:pt>
              </c:strCache>
            </c:strRef>
          </c:tx>
          <c:spPr>
            <a:solidFill>
              <a:schemeClr val="accent1"/>
            </a:solidFill>
            <a:ln>
              <a:noFill/>
            </a:ln>
            <a:effectLst/>
            <a:sp3d/>
          </c:spPr>
          <c:invertIfNegative val="0"/>
          <c:cat>
            <c:strRef>
              <c:f>PricingwiseAnalysis!$A$4:$A$9</c:f>
              <c:strCache>
                <c:ptCount val="5"/>
                <c:pt idx="0">
                  <c:v>Alpha_Inc</c:v>
                </c:pt>
                <c:pt idx="1">
                  <c:v>Beta_Supplies</c:v>
                </c:pt>
                <c:pt idx="2">
                  <c:v>Delta_Logistics</c:v>
                </c:pt>
                <c:pt idx="3">
                  <c:v>Epsilon_Group</c:v>
                </c:pt>
                <c:pt idx="4">
                  <c:v>Gamma_Co</c:v>
                </c:pt>
              </c:strCache>
            </c:strRef>
          </c:cat>
          <c:val>
            <c:numRef>
              <c:f>PricingwiseAnalysis!$B$4:$B$9</c:f>
              <c:numCache>
                <c:formatCode>General</c:formatCode>
                <c:ptCount val="5"/>
                <c:pt idx="0">
                  <c:v>7564.3900000000031</c:v>
                </c:pt>
                <c:pt idx="1">
                  <c:v>8362.8300000000017</c:v>
                </c:pt>
                <c:pt idx="2">
                  <c:v>8874.6100000000042</c:v>
                </c:pt>
                <c:pt idx="3">
                  <c:v>9069.49</c:v>
                </c:pt>
                <c:pt idx="4">
                  <c:v>7823.0600000000013</c:v>
                </c:pt>
              </c:numCache>
            </c:numRef>
          </c:val>
          <c:extLst>
            <c:ext xmlns:c16="http://schemas.microsoft.com/office/drawing/2014/chart" uri="{C3380CC4-5D6E-409C-BE32-E72D297353CC}">
              <c16:uniqueId val="{00000000-3F45-4E33-954E-084FE915594B}"/>
            </c:ext>
          </c:extLst>
        </c:ser>
        <c:ser>
          <c:idx val="1"/>
          <c:order val="1"/>
          <c:tx>
            <c:strRef>
              <c:f>PricingwiseAnalysis!$C$3</c:f>
              <c:strCache>
                <c:ptCount val="1"/>
                <c:pt idx="0">
                  <c:v>Sum of Unit_Price</c:v>
                </c:pt>
              </c:strCache>
            </c:strRef>
          </c:tx>
          <c:spPr>
            <a:solidFill>
              <a:schemeClr val="accent2"/>
            </a:solidFill>
            <a:ln>
              <a:noFill/>
            </a:ln>
            <a:effectLst/>
            <a:sp3d/>
          </c:spPr>
          <c:invertIfNegative val="0"/>
          <c:cat>
            <c:strRef>
              <c:f>PricingwiseAnalysis!$A$4:$A$9</c:f>
              <c:strCache>
                <c:ptCount val="5"/>
                <c:pt idx="0">
                  <c:v>Alpha_Inc</c:v>
                </c:pt>
                <c:pt idx="1">
                  <c:v>Beta_Supplies</c:v>
                </c:pt>
                <c:pt idx="2">
                  <c:v>Delta_Logistics</c:v>
                </c:pt>
                <c:pt idx="3">
                  <c:v>Epsilon_Group</c:v>
                </c:pt>
                <c:pt idx="4">
                  <c:v>Gamma_Co</c:v>
                </c:pt>
              </c:strCache>
            </c:strRef>
          </c:cat>
          <c:val>
            <c:numRef>
              <c:f>PricingwiseAnalysis!$C$4:$C$9</c:f>
              <c:numCache>
                <c:formatCode>General</c:formatCode>
                <c:ptCount val="5"/>
                <c:pt idx="0">
                  <c:v>8232.5000000000036</c:v>
                </c:pt>
                <c:pt idx="1">
                  <c:v>9091.59</c:v>
                </c:pt>
                <c:pt idx="2">
                  <c:v>9616.3599999999969</c:v>
                </c:pt>
                <c:pt idx="3">
                  <c:v>9859.19</c:v>
                </c:pt>
                <c:pt idx="4">
                  <c:v>8486.8900000000012</c:v>
                </c:pt>
              </c:numCache>
            </c:numRef>
          </c:val>
          <c:extLst>
            <c:ext xmlns:c16="http://schemas.microsoft.com/office/drawing/2014/chart" uri="{C3380CC4-5D6E-409C-BE32-E72D297353CC}">
              <c16:uniqueId val="{00000001-3F45-4E33-954E-084FE915594B}"/>
            </c:ext>
          </c:extLst>
        </c:ser>
        <c:dLbls>
          <c:showLegendKey val="0"/>
          <c:showVal val="0"/>
          <c:showCatName val="0"/>
          <c:showSerName val="0"/>
          <c:showPercent val="0"/>
          <c:showBubbleSize val="0"/>
        </c:dLbls>
        <c:gapWidth val="150"/>
        <c:shape val="box"/>
        <c:axId val="1157169999"/>
        <c:axId val="1157170479"/>
        <c:axId val="0"/>
      </c:bar3DChart>
      <c:catAx>
        <c:axId val="1157169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70479"/>
        <c:crosses val="autoZero"/>
        <c:auto val="1"/>
        <c:lblAlgn val="ctr"/>
        <c:lblOffset val="100"/>
        <c:noMultiLvlLbl val="0"/>
      </c:catAx>
      <c:valAx>
        <c:axId val="1157170479"/>
        <c:scaling>
          <c:orientation val="minMax"/>
        </c:scaling>
        <c:delete val="1"/>
        <c:axPos val="l"/>
        <c:numFmt formatCode="General" sourceLinked="1"/>
        <c:majorTickMark val="out"/>
        <c:minorTickMark val="none"/>
        <c:tickLblPos val="nextTo"/>
        <c:crossAx val="115716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83343</xdr:colOff>
      <xdr:row>6</xdr:row>
      <xdr:rowOff>35720</xdr:rowOff>
    </xdr:from>
    <xdr:to>
      <xdr:col>8</xdr:col>
      <xdr:colOff>35718</xdr:colOff>
      <xdr:row>21</xdr:row>
      <xdr:rowOff>64295</xdr:rowOff>
    </xdr:to>
    <xdr:graphicFrame macro="">
      <xdr:nvGraphicFramePr>
        <xdr:cNvPr id="2" name="Chart 1">
          <a:extLst>
            <a:ext uri="{FF2B5EF4-FFF2-40B4-BE49-F238E27FC236}">
              <a16:creationId xmlns:a16="http://schemas.microsoft.com/office/drawing/2014/main" id="{7C76B629-54EC-4D3F-E590-85E42527B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292893</xdr:colOff>
      <xdr:row>0</xdr:row>
      <xdr:rowOff>97631</xdr:rowOff>
    </xdr:from>
    <xdr:to>
      <xdr:col>9</xdr:col>
      <xdr:colOff>21430</xdr:colOff>
      <xdr:row>15</xdr:row>
      <xdr:rowOff>126206</xdr:rowOff>
    </xdr:to>
    <xdr:graphicFrame macro="">
      <xdr:nvGraphicFramePr>
        <xdr:cNvPr id="2" name="Chart 1">
          <a:extLst>
            <a:ext uri="{FF2B5EF4-FFF2-40B4-BE49-F238E27FC236}">
              <a16:creationId xmlns:a16="http://schemas.microsoft.com/office/drawing/2014/main" id="{844C86AB-59B5-63F2-3FB6-963829C02F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597692</xdr:colOff>
      <xdr:row>3</xdr:row>
      <xdr:rowOff>83344</xdr:rowOff>
    </xdr:from>
    <xdr:to>
      <xdr:col>14</xdr:col>
      <xdr:colOff>309562</xdr:colOff>
      <xdr:row>16</xdr:row>
      <xdr:rowOff>157163</xdr:rowOff>
    </xdr:to>
    <xdr:graphicFrame macro="">
      <xdr:nvGraphicFramePr>
        <xdr:cNvPr id="2" name="Chart 1">
          <a:extLst>
            <a:ext uri="{FF2B5EF4-FFF2-40B4-BE49-F238E27FC236}">
              <a16:creationId xmlns:a16="http://schemas.microsoft.com/office/drawing/2014/main" id="{C1A73C6E-FB23-2047-BFAA-30C39014F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88105</xdr:colOff>
      <xdr:row>2</xdr:row>
      <xdr:rowOff>126206</xdr:rowOff>
    </xdr:from>
    <xdr:to>
      <xdr:col>9</xdr:col>
      <xdr:colOff>126205</xdr:colOff>
      <xdr:row>17</xdr:row>
      <xdr:rowOff>154781</xdr:rowOff>
    </xdr:to>
    <xdr:graphicFrame macro="">
      <xdr:nvGraphicFramePr>
        <xdr:cNvPr id="2" name="Chart 1">
          <a:extLst>
            <a:ext uri="{FF2B5EF4-FFF2-40B4-BE49-F238E27FC236}">
              <a16:creationId xmlns:a16="http://schemas.microsoft.com/office/drawing/2014/main" id="{DD2E2436-A1DD-1274-C367-E74DA92F2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109537</xdr:colOff>
      <xdr:row>1</xdr:row>
      <xdr:rowOff>92868</xdr:rowOff>
    </xdr:from>
    <xdr:to>
      <xdr:col>8</xdr:col>
      <xdr:colOff>359568</xdr:colOff>
      <xdr:row>15</xdr:row>
      <xdr:rowOff>23812</xdr:rowOff>
    </xdr:to>
    <xdr:graphicFrame macro="">
      <xdr:nvGraphicFramePr>
        <xdr:cNvPr id="2" name="Chart 1">
          <a:extLst>
            <a:ext uri="{FF2B5EF4-FFF2-40B4-BE49-F238E27FC236}">
              <a16:creationId xmlns:a16="http://schemas.microsoft.com/office/drawing/2014/main" id="{33D10A60-1470-9D57-8F0E-50EFB7767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145256</xdr:colOff>
      <xdr:row>2</xdr:row>
      <xdr:rowOff>30956</xdr:rowOff>
    </xdr:from>
    <xdr:to>
      <xdr:col>9</xdr:col>
      <xdr:colOff>183356</xdr:colOff>
      <xdr:row>17</xdr:row>
      <xdr:rowOff>59531</xdr:rowOff>
    </xdr:to>
    <xdr:graphicFrame macro="">
      <xdr:nvGraphicFramePr>
        <xdr:cNvPr id="2" name="Chart 1">
          <a:extLst>
            <a:ext uri="{FF2B5EF4-FFF2-40B4-BE49-F238E27FC236}">
              <a16:creationId xmlns:a16="http://schemas.microsoft.com/office/drawing/2014/main" id="{CA72269F-EEAC-F1BA-515A-E1D6EAA9A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873918</xdr:colOff>
      <xdr:row>8</xdr:row>
      <xdr:rowOff>178594</xdr:rowOff>
    </xdr:from>
    <xdr:to>
      <xdr:col>5</xdr:col>
      <xdr:colOff>650080</xdr:colOff>
      <xdr:row>24</xdr:row>
      <xdr:rowOff>26194</xdr:rowOff>
    </xdr:to>
    <xdr:graphicFrame macro="">
      <xdr:nvGraphicFramePr>
        <xdr:cNvPr id="3" name="Chart 2">
          <a:extLst>
            <a:ext uri="{FF2B5EF4-FFF2-40B4-BE49-F238E27FC236}">
              <a16:creationId xmlns:a16="http://schemas.microsoft.com/office/drawing/2014/main" id="{AEED43E5-9762-DED2-6D22-33D9FC09F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280035</xdr:colOff>
      <xdr:row>0</xdr:row>
      <xdr:rowOff>0</xdr:rowOff>
    </xdr:from>
    <xdr:to>
      <xdr:col>3</xdr:col>
      <xdr:colOff>348615</xdr:colOff>
      <xdr:row>9</xdr:row>
      <xdr:rowOff>166688</xdr:rowOff>
    </xdr:to>
    <mc:AlternateContent xmlns:mc="http://schemas.openxmlformats.org/markup-compatibility/2006" xmlns:a14="http://schemas.microsoft.com/office/drawing/2010/main">
      <mc:Choice Requires="a14">
        <xdr:graphicFrame macro="">
          <xdr:nvGraphicFramePr>
            <xdr:cNvPr id="3" name="Vendor_Name">
              <a:extLst>
                <a:ext uri="{FF2B5EF4-FFF2-40B4-BE49-F238E27FC236}">
                  <a16:creationId xmlns:a16="http://schemas.microsoft.com/office/drawing/2014/main" id="{34B3E87D-B0EF-5F94-3D29-E721DBAAE2C7}"/>
                </a:ext>
              </a:extLst>
            </xdr:cNvPr>
            <xdr:cNvGraphicFramePr/>
          </xdr:nvGraphicFramePr>
          <xdr:xfrm>
            <a:off x="0" y="0"/>
            <a:ext cx="0" cy="0"/>
          </xdr:xfrm>
          <a:graphic>
            <a:graphicData uri="http://schemas.microsoft.com/office/drawing/2010/slicer">
              <sle:slicer xmlns:sle="http://schemas.microsoft.com/office/drawing/2010/slicer" name="Vendor_Name"/>
            </a:graphicData>
          </a:graphic>
        </xdr:graphicFrame>
      </mc:Choice>
      <mc:Fallback xmlns="">
        <xdr:sp macro="" textlink="">
          <xdr:nvSpPr>
            <xdr:cNvPr id="0" name=""/>
            <xdr:cNvSpPr>
              <a:spLocks noTextEdit="1"/>
            </xdr:cNvSpPr>
          </xdr:nvSpPr>
          <xdr:spPr>
            <a:xfrm>
              <a:off x="280035" y="0"/>
              <a:ext cx="2011680" cy="1795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342900</xdr:colOff>
      <xdr:row>0</xdr:row>
      <xdr:rowOff>66675</xdr:rowOff>
    </xdr:from>
    <xdr:to>
      <xdr:col>15</xdr:col>
      <xdr:colOff>228600</xdr:colOff>
      <xdr:row>7</xdr:row>
      <xdr:rowOff>9525</xdr:rowOff>
    </xdr:to>
    <mc:AlternateContent xmlns:mc="http://schemas.openxmlformats.org/markup-compatibility/2006" xmlns:a14="http://schemas.microsoft.com/office/drawing/2010/main">
      <mc:Choice Requires="a14">
        <xdr:graphicFrame macro="">
          <xdr:nvGraphicFramePr>
            <xdr:cNvPr id="4" name="Order Year">
              <a:extLst>
                <a:ext uri="{FF2B5EF4-FFF2-40B4-BE49-F238E27FC236}">
                  <a16:creationId xmlns:a16="http://schemas.microsoft.com/office/drawing/2014/main" id="{C2453740-3DC5-9113-4D00-94242AFD7C3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8115300" y="66675"/>
              <a:ext cx="18288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409575</xdr:colOff>
      <xdr:row>0</xdr:row>
      <xdr:rowOff>14289</xdr:rowOff>
    </xdr:from>
    <xdr:to>
      <xdr:col>6</xdr:col>
      <xdr:colOff>295275</xdr:colOff>
      <xdr:row>10</xdr:row>
      <xdr:rowOff>57151</xdr:rowOff>
    </xdr:to>
    <mc:AlternateContent xmlns:mc="http://schemas.openxmlformats.org/markup-compatibility/2006" xmlns:a14="http://schemas.microsoft.com/office/drawing/2010/main">
      <mc:Choice Requires="a14">
        <xdr:graphicFrame macro="">
          <xdr:nvGraphicFramePr>
            <xdr:cNvPr id="5" name="Item_Category">
              <a:extLst>
                <a:ext uri="{FF2B5EF4-FFF2-40B4-BE49-F238E27FC236}">
                  <a16:creationId xmlns:a16="http://schemas.microsoft.com/office/drawing/2014/main" id="{8175A7A6-C2D5-A53B-7003-FEAD1EF2770B}"/>
                </a:ext>
              </a:extLst>
            </xdr:cNvPr>
            <xdr:cNvGraphicFramePr/>
          </xdr:nvGraphicFramePr>
          <xdr:xfrm>
            <a:off x="0" y="0"/>
            <a:ext cx="0" cy="0"/>
          </xdr:xfrm>
          <a:graphic>
            <a:graphicData uri="http://schemas.microsoft.com/office/drawing/2010/slicer">
              <sle:slicer xmlns:sle="http://schemas.microsoft.com/office/drawing/2010/slicer" name="Item_Category"/>
            </a:graphicData>
          </a:graphic>
        </xdr:graphicFrame>
      </mc:Choice>
      <mc:Fallback xmlns="">
        <xdr:sp macro="" textlink="">
          <xdr:nvSpPr>
            <xdr:cNvPr id="0" name=""/>
            <xdr:cNvSpPr>
              <a:spLocks noTextEdit="1"/>
            </xdr:cNvSpPr>
          </xdr:nvSpPr>
          <xdr:spPr>
            <a:xfrm>
              <a:off x="2352675" y="14289"/>
              <a:ext cx="1828800" cy="18526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461963</xdr:colOff>
      <xdr:row>0</xdr:row>
      <xdr:rowOff>66676</xdr:rowOff>
    </xdr:from>
    <xdr:to>
      <xdr:col>9</xdr:col>
      <xdr:colOff>347663</xdr:colOff>
      <xdr:row>8</xdr:row>
      <xdr:rowOff>85726</xdr:rowOff>
    </xdr:to>
    <mc:AlternateContent xmlns:mc="http://schemas.openxmlformats.org/markup-compatibility/2006" xmlns:a14="http://schemas.microsoft.com/office/drawing/2010/main">
      <mc:Choice Requires="a14">
        <xdr:graphicFrame macro="">
          <xdr:nvGraphicFramePr>
            <xdr:cNvPr id="6" name="Order_Status">
              <a:extLst>
                <a:ext uri="{FF2B5EF4-FFF2-40B4-BE49-F238E27FC236}">
                  <a16:creationId xmlns:a16="http://schemas.microsoft.com/office/drawing/2014/main" id="{CEA3441A-1BB0-7A12-CC3D-46EF84C990B5}"/>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4348163" y="6667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414338</xdr:colOff>
      <xdr:row>0</xdr:row>
      <xdr:rowOff>90489</xdr:rowOff>
    </xdr:from>
    <xdr:to>
      <xdr:col>12</xdr:col>
      <xdr:colOff>300038</xdr:colOff>
      <xdr:row>5</xdr:row>
      <xdr:rowOff>157164</xdr:rowOff>
    </xdr:to>
    <mc:AlternateContent xmlns:mc="http://schemas.openxmlformats.org/markup-compatibility/2006" xmlns:a14="http://schemas.microsoft.com/office/drawing/2010/main">
      <mc:Choice Requires="a14">
        <xdr:graphicFrame macro="">
          <xdr:nvGraphicFramePr>
            <xdr:cNvPr id="7" name="Compliance">
              <a:extLst>
                <a:ext uri="{FF2B5EF4-FFF2-40B4-BE49-F238E27FC236}">
                  <a16:creationId xmlns:a16="http://schemas.microsoft.com/office/drawing/2014/main" id="{B19FE75C-F4A4-AD6D-143B-2D903607059C}"/>
                </a:ext>
              </a:extLst>
            </xdr:cNvPr>
            <xdr:cNvGraphicFramePr/>
          </xdr:nvGraphicFramePr>
          <xdr:xfrm>
            <a:off x="0" y="0"/>
            <a:ext cx="0" cy="0"/>
          </xdr:xfrm>
          <a:graphic>
            <a:graphicData uri="http://schemas.microsoft.com/office/drawing/2010/slicer">
              <sle:slicer xmlns:sle="http://schemas.microsoft.com/office/drawing/2010/slicer" name="Compliance"/>
            </a:graphicData>
          </a:graphic>
        </xdr:graphicFrame>
      </mc:Choice>
      <mc:Fallback xmlns="">
        <xdr:sp macro="" textlink="">
          <xdr:nvSpPr>
            <xdr:cNvPr id="0" name=""/>
            <xdr:cNvSpPr>
              <a:spLocks noTextEdit="1"/>
            </xdr:cNvSpPr>
          </xdr:nvSpPr>
          <xdr:spPr>
            <a:xfrm>
              <a:off x="6243638" y="90489"/>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381000</xdr:colOff>
      <xdr:row>6</xdr:row>
      <xdr:rowOff>171450</xdr:rowOff>
    </xdr:from>
    <xdr:to>
      <xdr:col>10</xdr:col>
      <xdr:colOff>409575</xdr:colOff>
      <xdr:row>18</xdr:row>
      <xdr:rowOff>176213</xdr:rowOff>
    </xdr:to>
    <xdr:graphicFrame macro="">
      <xdr:nvGraphicFramePr>
        <xdr:cNvPr id="17" name="Chart 16">
          <a:extLst>
            <a:ext uri="{FF2B5EF4-FFF2-40B4-BE49-F238E27FC236}">
              <a16:creationId xmlns:a16="http://schemas.microsoft.com/office/drawing/2014/main" id="{0EA4E775-DD1A-4D0E-8D9C-77AAFF413E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166688</xdr:colOff>
      <xdr:row>0</xdr:row>
      <xdr:rowOff>95684</xdr:rowOff>
    </xdr:from>
    <xdr:to>
      <xdr:col>13</xdr:col>
      <xdr:colOff>119063</xdr:colOff>
      <xdr:row>2</xdr:row>
      <xdr:rowOff>28143</xdr:rowOff>
    </xdr:to>
    <xdr:sp macro="" textlink="">
      <xdr:nvSpPr>
        <xdr:cNvPr id="5" name="Rectangle: Rounded Corners 4">
          <a:extLst>
            <a:ext uri="{FF2B5EF4-FFF2-40B4-BE49-F238E27FC236}">
              <a16:creationId xmlns:a16="http://schemas.microsoft.com/office/drawing/2014/main" id="{8E1B4575-C82F-9390-8AF7-5F7A60E017B1}"/>
            </a:ext>
          </a:extLst>
        </xdr:cNvPr>
        <xdr:cNvSpPr/>
      </xdr:nvSpPr>
      <xdr:spPr>
        <a:xfrm>
          <a:off x="1462088" y="95684"/>
          <a:ext cx="7077075" cy="294409"/>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Vendor Performance Analysis</a:t>
          </a:r>
        </a:p>
      </xdr:txBody>
    </xdr:sp>
    <xdr:clientData/>
  </xdr:twoCellAnchor>
  <xdr:twoCellAnchor>
    <xdr:from>
      <xdr:col>0</xdr:col>
      <xdr:colOff>409577</xdr:colOff>
      <xdr:row>2</xdr:row>
      <xdr:rowOff>104775</xdr:rowOff>
    </xdr:from>
    <xdr:to>
      <xdr:col>3</xdr:col>
      <xdr:colOff>152401</xdr:colOff>
      <xdr:row>6</xdr:row>
      <xdr:rowOff>71438</xdr:rowOff>
    </xdr:to>
    <xdr:sp macro="" textlink="Cards!A6:B6">
      <xdr:nvSpPr>
        <xdr:cNvPr id="6" name="Rectangle: Rounded Corners 5">
          <a:extLst>
            <a:ext uri="{FF2B5EF4-FFF2-40B4-BE49-F238E27FC236}">
              <a16:creationId xmlns:a16="http://schemas.microsoft.com/office/drawing/2014/main" id="{7FD70A31-D3CA-418F-A279-ADCB4C1A1997}"/>
            </a:ext>
          </a:extLst>
        </xdr:cNvPr>
        <xdr:cNvSpPr/>
      </xdr:nvSpPr>
      <xdr:spPr>
        <a:xfrm>
          <a:off x="409577" y="466725"/>
          <a:ext cx="1685924" cy="69056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Aptos Narrow"/>
              <a:ea typeface="+mn-ea"/>
              <a:cs typeface="+mn-cs"/>
            </a:rPr>
            <a:t>Status rate</a:t>
          </a:r>
        </a:p>
        <a:p>
          <a:pPr marL="0" indent="0" algn="ctr"/>
          <a:fld id="{7E80F37D-584C-42C1-9465-12B13A1EBF31}" type="TxLink">
            <a:rPr lang="en-US" sz="1100" b="1" i="0" u="none" strike="noStrike">
              <a:solidFill>
                <a:srgbClr val="000000"/>
              </a:solidFill>
              <a:latin typeface="Aptos Narrow"/>
              <a:ea typeface="+mn-ea"/>
              <a:cs typeface="+mn-cs"/>
            </a:rPr>
            <a:pPr marL="0" indent="0" algn="ctr"/>
            <a:t>25.17482518</a:t>
          </a:fld>
          <a:endParaRPr lang="en-US" sz="1600" b="1">
            <a:solidFill>
              <a:schemeClr val="tx1"/>
            </a:solidFill>
            <a:latin typeface="+mn-lt"/>
            <a:ea typeface="+mn-ea"/>
            <a:cs typeface="+mn-cs"/>
          </a:endParaRPr>
        </a:p>
      </xdr:txBody>
    </xdr:sp>
    <xdr:clientData/>
  </xdr:twoCellAnchor>
  <xdr:twoCellAnchor>
    <xdr:from>
      <xdr:col>3</xdr:col>
      <xdr:colOff>304798</xdr:colOff>
      <xdr:row>2</xdr:row>
      <xdr:rowOff>114300</xdr:rowOff>
    </xdr:from>
    <xdr:to>
      <xdr:col>5</xdr:col>
      <xdr:colOff>604837</xdr:colOff>
      <xdr:row>6</xdr:row>
      <xdr:rowOff>57151</xdr:rowOff>
    </xdr:to>
    <xdr:sp macro="" textlink="Cards!B6:C6">
      <xdr:nvSpPr>
        <xdr:cNvPr id="7" name="Rectangle: Rounded Corners 6">
          <a:extLst>
            <a:ext uri="{FF2B5EF4-FFF2-40B4-BE49-F238E27FC236}">
              <a16:creationId xmlns:a16="http://schemas.microsoft.com/office/drawing/2014/main" id="{3976F40F-34D5-4E5B-8898-A2672B860247}"/>
            </a:ext>
          </a:extLst>
        </xdr:cNvPr>
        <xdr:cNvSpPr/>
      </xdr:nvSpPr>
      <xdr:spPr>
        <a:xfrm>
          <a:off x="2247898" y="476250"/>
          <a:ext cx="1595439" cy="66675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Aptos Narrow"/>
              <a:ea typeface="+mn-ea"/>
              <a:cs typeface="+mn-cs"/>
            </a:rPr>
            <a:t>Total Spend</a:t>
          </a:r>
        </a:p>
        <a:p>
          <a:pPr marL="0" indent="0" algn="ctr"/>
          <a:fld id="{7819EB1A-98B6-46A7-827B-8BEF07D7DFA9}" type="TxLink">
            <a:rPr lang="en-US" sz="1100" b="1" i="0" u="none" strike="noStrike">
              <a:solidFill>
                <a:srgbClr val="000000"/>
              </a:solidFill>
              <a:latin typeface="Aptos Narrow"/>
              <a:ea typeface="+mn-ea"/>
              <a:cs typeface="+mn-cs"/>
            </a:rPr>
            <a:pPr marL="0" indent="0" algn="ctr"/>
            <a:t>455000.51</a:t>
          </a:fld>
          <a:endParaRPr lang="en-US" sz="1600" b="1">
            <a:solidFill>
              <a:schemeClr val="tx1"/>
            </a:solidFill>
            <a:latin typeface="+mn-lt"/>
            <a:ea typeface="+mn-ea"/>
            <a:cs typeface="+mn-cs"/>
          </a:endParaRPr>
        </a:p>
      </xdr:txBody>
    </xdr:sp>
    <xdr:clientData/>
  </xdr:twoCellAnchor>
  <xdr:twoCellAnchor>
    <xdr:from>
      <xdr:col>11</xdr:col>
      <xdr:colOff>500064</xdr:colOff>
      <xdr:row>2</xdr:row>
      <xdr:rowOff>114300</xdr:rowOff>
    </xdr:from>
    <xdr:to>
      <xdr:col>14</xdr:col>
      <xdr:colOff>219076</xdr:colOff>
      <xdr:row>6</xdr:row>
      <xdr:rowOff>61912</xdr:rowOff>
    </xdr:to>
    <xdr:sp macro="" textlink="Cards!E6:F6">
      <xdr:nvSpPr>
        <xdr:cNvPr id="8" name="Rectangle: Rounded Corners 7">
          <a:extLst>
            <a:ext uri="{FF2B5EF4-FFF2-40B4-BE49-F238E27FC236}">
              <a16:creationId xmlns:a16="http://schemas.microsoft.com/office/drawing/2014/main" id="{63E2805E-1178-4CCE-B798-F9D9E418031A}"/>
            </a:ext>
          </a:extLst>
        </xdr:cNvPr>
        <xdr:cNvSpPr/>
      </xdr:nvSpPr>
      <xdr:spPr>
        <a:xfrm>
          <a:off x="7624764" y="476250"/>
          <a:ext cx="1662112" cy="671512"/>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Aptos Narrow"/>
              <a:ea typeface="+mn-ea"/>
              <a:cs typeface="+mn-cs"/>
            </a:rPr>
            <a:t>Defective rate</a:t>
          </a:r>
        </a:p>
        <a:p>
          <a:pPr marL="0" indent="0" algn="ctr"/>
          <a:fld id="{6E3EF301-B9C4-4329-AEDF-39AF7753C8D3}" type="TxLink">
            <a:rPr lang="en-US" sz="1100" b="1" i="0" u="none" strike="noStrike">
              <a:solidFill>
                <a:srgbClr val="000000"/>
              </a:solidFill>
              <a:latin typeface="Aptos Narrow"/>
              <a:ea typeface="+mn-ea"/>
              <a:cs typeface="+mn-cs"/>
            </a:rPr>
            <a:pPr marL="0" indent="0" algn="ctr"/>
            <a:t>56.91132153</a:t>
          </a:fld>
          <a:endParaRPr lang="en-US" sz="1200" b="1">
            <a:solidFill>
              <a:schemeClr val="tx1"/>
            </a:solidFill>
            <a:latin typeface="+mn-lt"/>
            <a:ea typeface="+mn-ea"/>
            <a:cs typeface="+mn-cs"/>
          </a:endParaRPr>
        </a:p>
      </xdr:txBody>
    </xdr:sp>
    <xdr:clientData/>
  </xdr:twoCellAnchor>
  <xdr:twoCellAnchor>
    <xdr:from>
      <xdr:col>8</xdr:col>
      <xdr:colOff>585787</xdr:colOff>
      <xdr:row>2</xdr:row>
      <xdr:rowOff>119062</xdr:rowOff>
    </xdr:from>
    <xdr:to>
      <xdr:col>11</xdr:col>
      <xdr:colOff>390525</xdr:colOff>
      <xdr:row>6</xdr:row>
      <xdr:rowOff>71437</xdr:rowOff>
    </xdr:to>
    <xdr:sp macro="" textlink="Cards!D6:E6">
      <xdr:nvSpPr>
        <xdr:cNvPr id="9" name="Rectangle: Rounded Corners 8">
          <a:extLst>
            <a:ext uri="{FF2B5EF4-FFF2-40B4-BE49-F238E27FC236}">
              <a16:creationId xmlns:a16="http://schemas.microsoft.com/office/drawing/2014/main" id="{63667610-7E3F-4D80-8CE8-C58F67131938}"/>
            </a:ext>
          </a:extLst>
        </xdr:cNvPr>
        <xdr:cNvSpPr/>
      </xdr:nvSpPr>
      <xdr:spPr>
        <a:xfrm>
          <a:off x="5767387" y="481012"/>
          <a:ext cx="1747838" cy="676275"/>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Aptos Narrow"/>
              <a:ea typeface="+mn-ea"/>
              <a:cs typeface="+mn-cs"/>
            </a:rPr>
            <a:t>Compliance rate</a:t>
          </a:r>
        </a:p>
        <a:p>
          <a:pPr marL="0" indent="0" algn="ctr"/>
          <a:fld id="{E6A65B08-60B9-4C4C-AFD3-43B729203E7A}" type="TxLink">
            <a:rPr lang="en-US" sz="1100" b="1" i="0" u="none" strike="noStrike">
              <a:solidFill>
                <a:srgbClr val="000000"/>
              </a:solidFill>
              <a:latin typeface="Aptos Narrow"/>
              <a:ea typeface="+mn-ea"/>
              <a:cs typeface="+mn-cs"/>
            </a:rPr>
            <a:pPr marL="0" indent="0" algn="ctr"/>
            <a:t>5.16</a:t>
          </a:fld>
          <a:endParaRPr lang="en-US" sz="1600" b="1">
            <a:solidFill>
              <a:schemeClr val="tx1"/>
            </a:solidFill>
            <a:latin typeface="+mn-lt"/>
            <a:ea typeface="+mn-ea"/>
            <a:cs typeface="+mn-cs"/>
          </a:endParaRPr>
        </a:p>
      </xdr:txBody>
    </xdr:sp>
    <xdr:clientData/>
  </xdr:twoCellAnchor>
  <xdr:twoCellAnchor>
    <xdr:from>
      <xdr:col>6</xdr:col>
      <xdr:colOff>61912</xdr:colOff>
      <xdr:row>2</xdr:row>
      <xdr:rowOff>100013</xdr:rowOff>
    </xdr:from>
    <xdr:to>
      <xdr:col>8</xdr:col>
      <xdr:colOff>495300</xdr:colOff>
      <xdr:row>6</xdr:row>
      <xdr:rowOff>61913</xdr:rowOff>
    </xdr:to>
    <xdr:sp macro="" textlink="Cards!C6:D6">
      <xdr:nvSpPr>
        <xdr:cNvPr id="10" name="Rectangle: Rounded Corners 9">
          <a:extLst>
            <a:ext uri="{FF2B5EF4-FFF2-40B4-BE49-F238E27FC236}">
              <a16:creationId xmlns:a16="http://schemas.microsoft.com/office/drawing/2014/main" id="{BD0BC2AB-AC60-403A-8807-C52F1C842933}"/>
            </a:ext>
          </a:extLst>
        </xdr:cNvPr>
        <xdr:cNvSpPr/>
      </xdr:nvSpPr>
      <xdr:spPr>
        <a:xfrm>
          <a:off x="3948112" y="461963"/>
          <a:ext cx="1728788" cy="68580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Aptos Narrow"/>
              <a:ea typeface="+mn-ea"/>
              <a:cs typeface="+mn-cs"/>
            </a:rPr>
            <a:t>Negotiated rate</a:t>
          </a:r>
        </a:p>
        <a:p>
          <a:pPr marL="0" indent="0" algn="ctr"/>
          <a:fld id="{0F1E683B-EE4F-4335-817E-4BEE83191D61}" type="TxLink">
            <a:rPr lang="en-US" sz="1100" b="1" i="0" u="none" strike="noStrike">
              <a:solidFill>
                <a:srgbClr val="000000"/>
              </a:solidFill>
              <a:latin typeface="Aptos Narrow"/>
              <a:ea typeface="+mn-ea"/>
              <a:cs typeface="+mn-cs"/>
            </a:rPr>
            <a:pPr marL="0" indent="0" algn="ctr"/>
            <a:t>0.93</a:t>
          </a:fld>
          <a:endParaRPr lang="en-US" sz="1600" b="1">
            <a:solidFill>
              <a:schemeClr val="tx1"/>
            </a:solidFill>
            <a:latin typeface="+mn-lt"/>
            <a:ea typeface="+mn-ea"/>
            <a:cs typeface="+mn-cs"/>
          </a:endParaRPr>
        </a:p>
      </xdr:txBody>
    </xdr:sp>
    <xdr:clientData/>
  </xdr:twoCellAnchor>
  <xdr:twoCellAnchor editAs="oneCell">
    <xdr:from>
      <xdr:col>15</xdr:col>
      <xdr:colOff>71437</xdr:colOff>
      <xdr:row>0</xdr:row>
      <xdr:rowOff>52388</xdr:rowOff>
    </xdr:from>
    <xdr:to>
      <xdr:col>18</xdr:col>
      <xdr:colOff>59054</xdr:colOff>
      <xdr:row>5</xdr:row>
      <xdr:rowOff>76201</xdr:rowOff>
    </xdr:to>
    <mc:AlternateContent xmlns:mc="http://schemas.openxmlformats.org/markup-compatibility/2006" xmlns:a14="http://schemas.microsoft.com/office/drawing/2010/main">
      <mc:Choice Requires="a14">
        <xdr:graphicFrame macro="">
          <xdr:nvGraphicFramePr>
            <xdr:cNvPr id="11" name="Vendor_Name 1">
              <a:extLst>
                <a:ext uri="{FF2B5EF4-FFF2-40B4-BE49-F238E27FC236}">
                  <a16:creationId xmlns:a16="http://schemas.microsoft.com/office/drawing/2014/main" id="{27A2E615-4956-40FA-95DD-271914BD0F2F}"/>
                </a:ext>
              </a:extLst>
            </xdr:cNvPr>
            <xdr:cNvGraphicFramePr/>
          </xdr:nvGraphicFramePr>
          <xdr:xfrm>
            <a:off x="0" y="0"/>
            <a:ext cx="0" cy="0"/>
          </xdr:xfrm>
          <a:graphic>
            <a:graphicData uri="http://schemas.microsoft.com/office/drawing/2010/slicer">
              <sle:slicer xmlns:sle="http://schemas.microsoft.com/office/drawing/2010/slicer" name="Vendor_Name 1"/>
            </a:graphicData>
          </a:graphic>
        </xdr:graphicFrame>
      </mc:Choice>
      <mc:Fallback xmlns="">
        <xdr:sp macro="" textlink="">
          <xdr:nvSpPr>
            <xdr:cNvPr id="0" name=""/>
            <xdr:cNvSpPr>
              <a:spLocks noTextEdit="1"/>
            </xdr:cNvSpPr>
          </xdr:nvSpPr>
          <xdr:spPr>
            <a:xfrm>
              <a:off x="9786937" y="52388"/>
              <a:ext cx="1930717" cy="928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48577</xdr:colOff>
      <xdr:row>12</xdr:row>
      <xdr:rowOff>19052</xdr:rowOff>
    </xdr:from>
    <xdr:to>
      <xdr:col>17</xdr:col>
      <xdr:colOff>581977</xdr:colOff>
      <xdr:row>18</xdr:row>
      <xdr:rowOff>57152</xdr:rowOff>
    </xdr:to>
    <mc:AlternateContent xmlns:mc="http://schemas.openxmlformats.org/markup-compatibility/2006" xmlns:a14="http://schemas.microsoft.com/office/drawing/2010/main">
      <mc:Choice Requires="a14">
        <xdr:graphicFrame macro="">
          <xdr:nvGraphicFramePr>
            <xdr:cNvPr id="12" name="Order Year 1">
              <a:extLst>
                <a:ext uri="{FF2B5EF4-FFF2-40B4-BE49-F238E27FC236}">
                  <a16:creationId xmlns:a16="http://schemas.microsoft.com/office/drawing/2014/main" id="{9F80B933-1326-4C8F-9D7F-3522ADAEB609}"/>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9811702" y="2209802"/>
              <a:ext cx="183515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xdr:colOff>
      <xdr:row>24</xdr:row>
      <xdr:rowOff>42863</xdr:rowOff>
    </xdr:from>
    <xdr:to>
      <xdr:col>17</xdr:col>
      <xdr:colOff>642938</xdr:colOff>
      <xdr:row>30</xdr:row>
      <xdr:rowOff>123825</xdr:rowOff>
    </xdr:to>
    <mc:AlternateContent xmlns:mc="http://schemas.openxmlformats.org/markup-compatibility/2006" xmlns:a14="http://schemas.microsoft.com/office/drawing/2010/main">
      <mc:Choice Requires="a14">
        <xdr:graphicFrame macro="">
          <xdr:nvGraphicFramePr>
            <xdr:cNvPr id="13" name="Item_Category 1">
              <a:extLst>
                <a:ext uri="{FF2B5EF4-FFF2-40B4-BE49-F238E27FC236}">
                  <a16:creationId xmlns:a16="http://schemas.microsoft.com/office/drawing/2014/main" id="{CE25D9FF-F2F2-4620-9C99-4D8F1EC9A619}"/>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9791700" y="4424363"/>
              <a:ext cx="1916113" cy="1176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71437</xdr:colOff>
      <xdr:row>5</xdr:row>
      <xdr:rowOff>42862</xdr:rowOff>
    </xdr:from>
    <xdr:to>
      <xdr:col>17</xdr:col>
      <xdr:colOff>633412</xdr:colOff>
      <xdr:row>12</xdr:row>
      <xdr:rowOff>14288</xdr:rowOff>
    </xdr:to>
    <mc:AlternateContent xmlns:mc="http://schemas.openxmlformats.org/markup-compatibility/2006" xmlns:a14="http://schemas.microsoft.com/office/drawing/2010/main">
      <mc:Choice Requires="a14">
        <xdr:graphicFrame macro="">
          <xdr:nvGraphicFramePr>
            <xdr:cNvPr id="14" name="Order_Status 1">
              <a:extLst>
                <a:ext uri="{FF2B5EF4-FFF2-40B4-BE49-F238E27FC236}">
                  <a16:creationId xmlns:a16="http://schemas.microsoft.com/office/drawing/2014/main" id="{909964CB-B424-4322-9F8D-99D9651AFA57}"/>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9834562" y="955675"/>
              <a:ext cx="1863725" cy="12493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43816</xdr:colOff>
      <xdr:row>18</xdr:row>
      <xdr:rowOff>161925</xdr:rowOff>
    </xdr:from>
    <xdr:to>
      <xdr:col>17</xdr:col>
      <xdr:colOff>577216</xdr:colOff>
      <xdr:row>24</xdr:row>
      <xdr:rowOff>28574</xdr:rowOff>
    </xdr:to>
    <mc:AlternateContent xmlns:mc="http://schemas.openxmlformats.org/markup-compatibility/2006" xmlns:a14="http://schemas.microsoft.com/office/drawing/2010/main">
      <mc:Choice Requires="a14">
        <xdr:graphicFrame macro="">
          <xdr:nvGraphicFramePr>
            <xdr:cNvPr id="15" name="Compliance 1">
              <a:extLst>
                <a:ext uri="{FF2B5EF4-FFF2-40B4-BE49-F238E27FC236}">
                  <a16:creationId xmlns:a16="http://schemas.microsoft.com/office/drawing/2014/main" id="{7ECDFB88-0887-44E5-83F0-D08CB01A49D4}"/>
                </a:ext>
              </a:extLst>
            </xdr:cNvPr>
            <xdr:cNvGraphicFramePr/>
          </xdr:nvGraphicFramePr>
          <xdr:xfrm>
            <a:off x="0" y="0"/>
            <a:ext cx="0" cy="0"/>
          </xdr:xfrm>
          <a:graphic>
            <a:graphicData uri="http://schemas.microsoft.com/office/drawing/2010/slicer">
              <sle:slicer xmlns:sle="http://schemas.microsoft.com/office/drawing/2010/slicer" name="Compliance 1"/>
            </a:graphicData>
          </a:graphic>
        </xdr:graphicFrame>
      </mc:Choice>
      <mc:Fallback xmlns="">
        <xdr:sp macro="" textlink="">
          <xdr:nvSpPr>
            <xdr:cNvPr id="0" name=""/>
            <xdr:cNvSpPr>
              <a:spLocks noTextEdit="1"/>
            </xdr:cNvSpPr>
          </xdr:nvSpPr>
          <xdr:spPr>
            <a:xfrm>
              <a:off x="9759316" y="3419475"/>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471488</xdr:colOff>
      <xdr:row>6</xdr:row>
      <xdr:rowOff>171450</xdr:rowOff>
    </xdr:from>
    <xdr:to>
      <xdr:col>15</xdr:col>
      <xdr:colOff>14288</xdr:colOff>
      <xdr:row>19</xdr:row>
      <xdr:rowOff>0</xdr:rowOff>
    </xdr:to>
    <xdr:graphicFrame macro="">
      <xdr:nvGraphicFramePr>
        <xdr:cNvPr id="18" name="Chart 17">
          <a:extLst>
            <a:ext uri="{FF2B5EF4-FFF2-40B4-BE49-F238E27FC236}">
              <a16:creationId xmlns:a16="http://schemas.microsoft.com/office/drawing/2014/main" id="{6C6B9FA2-8CCC-4960-9676-80D1B2E6F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161926</xdr:colOff>
      <xdr:row>19</xdr:row>
      <xdr:rowOff>47626</xdr:rowOff>
    </xdr:from>
    <xdr:to>
      <xdr:col>5</xdr:col>
      <xdr:colOff>328614</xdr:colOff>
      <xdr:row>31</xdr:row>
      <xdr:rowOff>47626</xdr:rowOff>
    </xdr:to>
    <xdr:graphicFrame macro="">
      <xdr:nvGraphicFramePr>
        <xdr:cNvPr id="19" name="Chart 18">
          <a:extLst>
            <a:ext uri="{FF2B5EF4-FFF2-40B4-BE49-F238E27FC236}">
              <a16:creationId xmlns:a16="http://schemas.microsoft.com/office/drawing/2014/main" id="{691F4F85-9D62-4665-AD3F-C18A6B2C2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357188</xdr:colOff>
      <xdr:row>19</xdr:row>
      <xdr:rowOff>47625</xdr:rowOff>
    </xdr:from>
    <xdr:to>
      <xdr:col>10</xdr:col>
      <xdr:colOff>395287</xdr:colOff>
      <xdr:row>31</xdr:row>
      <xdr:rowOff>38100</xdr:rowOff>
    </xdr:to>
    <xdr:graphicFrame macro="">
      <xdr:nvGraphicFramePr>
        <xdr:cNvPr id="20" name="Chart 19">
          <a:extLst>
            <a:ext uri="{FF2B5EF4-FFF2-40B4-BE49-F238E27FC236}">
              <a16:creationId xmlns:a16="http://schemas.microsoft.com/office/drawing/2014/main" id="{81B7392C-1459-4A73-A64D-CB047E2CA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442913</xdr:colOff>
      <xdr:row>19</xdr:row>
      <xdr:rowOff>52388</xdr:rowOff>
    </xdr:from>
    <xdr:to>
      <xdr:col>15</xdr:col>
      <xdr:colOff>9525</xdr:colOff>
      <xdr:row>31</xdr:row>
      <xdr:rowOff>42863</xdr:rowOff>
    </xdr:to>
    <xdr:graphicFrame macro="">
      <xdr:nvGraphicFramePr>
        <xdr:cNvPr id="21" name="Chart 20">
          <a:extLst>
            <a:ext uri="{FF2B5EF4-FFF2-40B4-BE49-F238E27FC236}">
              <a16:creationId xmlns:a16="http://schemas.microsoft.com/office/drawing/2014/main" id="{FFEDC57C-81D0-4C6D-B65E-A90505B13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185736</xdr:colOff>
      <xdr:row>7</xdr:row>
      <xdr:rowOff>9524</xdr:rowOff>
    </xdr:from>
    <xdr:to>
      <xdr:col>5</xdr:col>
      <xdr:colOff>352425</xdr:colOff>
      <xdr:row>19</xdr:row>
      <xdr:rowOff>9524</xdr:rowOff>
    </xdr:to>
    <xdr:graphicFrame macro="">
      <xdr:nvGraphicFramePr>
        <xdr:cNvPr id="16" name="Chart 15">
          <a:extLst>
            <a:ext uri="{FF2B5EF4-FFF2-40B4-BE49-F238E27FC236}">
              <a16:creationId xmlns:a16="http://schemas.microsoft.com/office/drawing/2014/main" id="{42402B31-2BFC-42D9-BC01-5E1D329EB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a Devi Suresh" refreshedDate="46223.734490972223" createdVersion="8" refreshedVersion="8" minRefreshableVersion="3" recordCount="777" xr:uid="{C4B27D21-152F-41E9-88C3-0AD5D5751228}">
  <cacheSource type="worksheet">
    <worksheetSource ref="A1:P778" sheet="CleanedDataSet"/>
  </cacheSource>
  <cacheFields count="16">
    <cacheField name="Vendor_ID" numFmtId="0">
      <sharedItems count="5">
        <s v="Vendor_01"/>
        <s v="Vendor_03"/>
        <s v="Vendor_05"/>
        <s v="Vendor_02"/>
        <s v="Vendor_04"/>
      </sharedItems>
    </cacheField>
    <cacheField name="Vendor_Name" numFmtId="0">
      <sharedItems count="5">
        <s v="Alpha_Inc"/>
        <s v="Delta_Logistics"/>
        <s v="Gamma_Co"/>
        <s v="Beta_Supplies"/>
        <s v="Epsilon_Group"/>
      </sharedItems>
    </cacheField>
    <cacheField name="Order Year" numFmtId="0">
      <sharedItems containsSemiMixedTypes="0" containsString="0" containsNumber="1" containsInteger="1" minValue="2022" maxValue="2024" count="3">
        <n v="2023"/>
        <n v="2022"/>
        <n v="2024"/>
      </sharedItems>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emiMixedTypes="0" containsString="0" containsNumber="1" containsInteger="1" minValue="0" maxValue="321"/>
    </cacheField>
    <cacheField name="Compliance" numFmtId="0">
      <sharedItems count="2">
        <s v="Yes"/>
        <s v="No"/>
      </sharedItems>
    </cacheField>
    <cacheField name="Status_rate" numFmtId="0">
      <sharedItems containsSemiMixedTypes="0" containsString="0" containsNumber="1" minValue="4.1958041960000001" maxValue="75.886524820000005"/>
    </cacheField>
    <cacheField name="Total Spend" numFmtId="0">
      <sharedItems containsSemiMixedTypes="0" containsString="0" containsNumber="1" minValue="772.8" maxValue="432900"/>
    </cacheField>
    <cacheField name="Savings" numFmtId="0">
      <sharedItems containsSemiMixedTypes="0" containsString="0" containsNumber="1" minValue="43.02" maxValue="59400"/>
    </cacheField>
    <cacheField name="Defective_Rate" numFmtId="0">
      <sharedItems containsSemiMixedTypes="0" containsString="0" containsNumber="1" minValue="0" maxValue="104.72972969999999"/>
    </cacheField>
    <cacheField name="Comp_rate" numFmtId="9">
      <sharedItems containsSemiMixedTypes="0" containsString="0" containsNumber="1" minValue="0.02" maxValue="0.98"/>
    </cacheField>
    <cacheField name="NegotiatedRate" numFmtId="9">
      <sharedItems containsSemiMixedTypes="0" containsString="0" containsNumber="1" minValue="0.02" maxValue="1.96"/>
    </cacheField>
  </cacheFields>
  <extLst>
    <ext xmlns:x14="http://schemas.microsoft.com/office/spreadsheetml/2009/9/main" uri="{725AE2AE-9491-48be-B2B4-4EB974FC3084}">
      <x14:pivotCacheDefinition pivotCacheId="13043089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mala Devi Suresh" refreshedDate="46227.532725925928" createdVersion="8" refreshedVersion="8" minRefreshableVersion="3" recordCount="778" xr:uid="{BD1F8DCB-CD09-4426-BE67-5ED7E5BA7450}">
  <cacheSource type="worksheet">
    <worksheetSource name="_xlnm._FilterDatabase" sheet="CleanedDataSet"/>
  </cacheSource>
  <cacheFields count="16">
    <cacheField name="Column1" numFmtId="0">
      <sharedItems containsBlank="1"/>
    </cacheField>
    <cacheField name="Vendor_Name" numFmtId="0">
      <sharedItems containsBlank="1" count="6">
        <s v="Alpha_Inc"/>
        <s v="Delta_Logistics"/>
        <s v="Gamma_Co"/>
        <s v="Beta_Supplies"/>
        <s v="Epsilon_Group"/>
        <m/>
      </sharedItems>
    </cacheField>
    <cacheField name="Order Year" numFmtId="0">
      <sharedItems containsString="0" containsBlank="1" containsNumber="1" containsInteger="1" minValue="2022" maxValue="2024"/>
    </cacheField>
    <cacheField name="Item_Category" numFmtId="0">
      <sharedItems containsBlank="1"/>
    </cacheField>
    <cacheField name="Order_Status" numFmtId="0">
      <sharedItems containsBlank="1" count="5">
        <s v="Cancelled"/>
        <s v="Delivered"/>
        <s v="Partially Delivered"/>
        <s v="Pending"/>
        <m/>
      </sharedItems>
    </cacheField>
    <cacheField name="Quantity" numFmtId="0">
      <sharedItems containsString="0" containsBlank="1" containsNumber="1" containsInteger="1" minValue="51" maxValue="5000"/>
    </cacheField>
    <cacheField name="Unit_Price" numFmtId="0">
      <sharedItems containsString="0" containsBlank="1" containsNumber="1" minValue="10.84" maxValue="109.17"/>
    </cacheField>
    <cacheField name="Negotiated_Price" numFmtId="0">
      <sharedItems containsString="0" containsBlank="1" containsNumber="1" minValue="9.27" maxValue="107.39"/>
    </cacheField>
    <cacheField name="Defective_Units" numFmtId="0">
      <sharedItems containsString="0" containsBlank="1" containsNumber="1" containsInteger="1" minValue="0" maxValue="321"/>
    </cacheField>
    <cacheField name="Compliance" numFmtId="0">
      <sharedItems containsBlank="1"/>
    </cacheField>
    <cacheField name="Status_Rate" numFmtId="9">
      <sharedItems containsString="0" containsBlank="1" containsNumber="1" minValue="4.195804195804196E-2" maxValue="0.75886524822695034"/>
    </cacheField>
    <cacheField name="Total Spend" numFmtId="44">
      <sharedItems containsString="0" containsBlank="1" containsNumber="1" minValue="772.8" maxValue="432900"/>
    </cacheField>
    <cacheField name="Savings" numFmtId="44">
      <sharedItems containsString="0" containsBlank="1" containsNumber="1" minValue="43.02" maxValue="59400"/>
    </cacheField>
    <cacheField name="Defective_Rate" numFmtId="0">
      <sharedItems containsString="0" containsBlank="1" containsNumber="1" minValue="0" maxValue="1.0472972972972974"/>
    </cacheField>
    <cacheField name="Comp_rate" numFmtId="0">
      <sharedItems containsString="0" containsBlank="1" containsNumber="1" minValue="0.02" maxValue="0.98"/>
    </cacheField>
    <cacheField name="Negot_Rate" numFmtId="9">
      <sharedItems containsString="0" containsBlank="1" containsNumber="1" minValue="1.0054137664346404E-2" maxValue="0.1499254843517138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x v="0"/>
    <x v="0"/>
    <x v="0"/>
    <x v="0"/>
    <x v="0"/>
    <n v="1176"/>
    <n v="20.13"/>
    <n v="17.809999999999999"/>
    <n v="24"/>
    <x v="0"/>
    <n v="9.2198581560000008"/>
    <n v="20944.560000000001"/>
    <n v="2728.32"/>
    <n v="2.0408163269999999"/>
    <n v="0.94"/>
    <n v="0.09"/>
  </r>
  <r>
    <x v="1"/>
    <x v="1"/>
    <x v="1"/>
    <x v="0"/>
    <x v="1"/>
    <n v="1509"/>
    <n v="39.32"/>
    <n v="37.340000000000003"/>
    <n v="235"/>
    <x v="0"/>
    <n v="70.175438600000007"/>
    <n v="56346.06"/>
    <n v="2987.82"/>
    <n v="15.573227299999999"/>
    <n v="0.61"/>
    <n v="7.0000000000000007E-2"/>
  </r>
  <r>
    <x v="2"/>
    <x v="2"/>
    <x v="1"/>
    <x v="1"/>
    <x v="1"/>
    <n v="910"/>
    <n v="95.51"/>
    <n v="92.26"/>
    <n v="41"/>
    <x v="0"/>
    <n v="72.027972030000001"/>
    <n v="83956.6"/>
    <n v="2957.5"/>
    <n v="4.5054945049999997"/>
    <n v="0.86"/>
    <n v="0.11"/>
  </r>
  <r>
    <x v="3"/>
    <x v="3"/>
    <x v="1"/>
    <x v="2"/>
    <x v="1"/>
    <n v="1344"/>
    <n v="99.85"/>
    <n v="95.52"/>
    <n v="112"/>
    <x v="0"/>
    <n v="70.512820509999997"/>
    <n v="128378.88"/>
    <n v="5819.52"/>
    <n v="8.3333333330000006"/>
    <n v="0.24"/>
    <n v="7.0000000000000007E-2"/>
  </r>
  <r>
    <x v="1"/>
    <x v="1"/>
    <x v="1"/>
    <x v="3"/>
    <x v="1"/>
    <n v="1180"/>
    <n v="64.069999999999993"/>
    <n v="60.53"/>
    <n v="171"/>
    <x v="1"/>
    <n v="70.175438600000007"/>
    <n v="71425.399999999994"/>
    <n v="4177.2"/>
    <n v="14.49152542"/>
    <n v="0.39"/>
    <n v="0.08"/>
  </r>
  <r>
    <x v="4"/>
    <x v="4"/>
    <x v="1"/>
    <x v="1"/>
    <x v="1"/>
    <n v="1145"/>
    <n v="69.209999999999994"/>
    <n v="63.57"/>
    <n v="39"/>
    <x v="0"/>
    <n v="72.289156629999994"/>
    <n v="72787.649999999994"/>
    <n v="6457.8"/>
    <n v="3.406113537"/>
    <n v="0.98"/>
    <n v="0.09"/>
  </r>
  <r>
    <x v="2"/>
    <x v="2"/>
    <x v="1"/>
    <x v="1"/>
    <x v="1"/>
    <n v="1774"/>
    <n v="51.37"/>
    <n v="47.82"/>
    <n v="96"/>
    <x v="1"/>
    <n v="72.027972030000001"/>
    <n v="84832.68"/>
    <n v="6297.7"/>
    <n v="5.4114994359999997"/>
    <n v="0.14000000000000001"/>
    <n v="0.06"/>
  </r>
  <r>
    <x v="0"/>
    <x v="0"/>
    <x v="1"/>
    <x v="1"/>
    <x v="1"/>
    <n v="1094"/>
    <n v="36.93"/>
    <n v="32.78"/>
    <n v="22"/>
    <x v="0"/>
    <n v="75.886524820000005"/>
    <n v="35861.32"/>
    <n v="4540.1000000000004"/>
    <n v="2.0109689209999999"/>
    <n v="0.94"/>
    <n v="0.09"/>
  </r>
  <r>
    <x v="2"/>
    <x v="2"/>
    <x v="0"/>
    <x v="3"/>
    <x v="2"/>
    <n v="1688"/>
    <n v="43.93"/>
    <n v="39.89"/>
    <n v="89"/>
    <x v="0"/>
    <n v="12.58741259"/>
    <n v="67334.320000000007"/>
    <n v="6819.52"/>
    <n v="5.2725118479999997"/>
    <n v="0.86"/>
    <n v="0.06"/>
  </r>
  <r>
    <x v="2"/>
    <x v="2"/>
    <x v="0"/>
    <x v="3"/>
    <x v="3"/>
    <n v="171"/>
    <n v="76.87"/>
    <n v="70.2"/>
    <n v="8"/>
    <x v="0"/>
    <n v="11.188811189999999"/>
    <n v="12004.2"/>
    <n v="1140.57"/>
    <n v="4.6783625730000002"/>
    <n v="0.86"/>
    <n v="0.57999999999999996"/>
  </r>
  <r>
    <x v="4"/>
    <x v="4"/>
    <x v="1"/>
    <x v="3"/>
    <x v="1"/>
    <n v="5000"/>
    <n v="78.489999999999995"/>
    <n v="73.680000000000007"/>
    <n v="18"/>
    <x v="0"/>
    <n v="72.289156629999994"/>
    <n v="368400"/>
    <n v="24050"/>
    <n v="0.36"/>
    <n v="0.98"/>
    <n v="0.02"/>
  </r>
  <r>
    <x v="3"/>
    <x v="3"/>
    <x v="0"/>
    <x v="3"/>
    <x v="1"/>
    <n v="5000"/>
    <n v="88.96"/>
    <n v="86.58"/>
    <n v="115"/>
    <x v="0"/>
    <n v="70.512820509999997"/>
    <n v="432900"/>
    <n v="11900"/>
    <n v="2.2999999999999998"/>
    <n v="0.76"/>
    <n v="0.02"/>
  </r>
  <r>
    <x v="3"/>
    <x v="3"/>
    <x v="0"/>
    <x v="4"/>
    <x v="3"/>
    <n v="5000"/>
    <n v="86.74"/>
    <n v="74.86"/>
    <n v="51"/>
    <x v="0"/>
    <n v="12.179487180000001"/>
    <n v="374300"/>
    <n v="59400"/>
    <n v="1.02"/>
    <n v="0.76"/>
    <n v="0.02"/>
  </r>
  <r>
    <x v="3"/>
    <x v="3"/>
    <x v="1"/>
    <x v="1"/>
    <x v="1"/>
    <n v="5000"/>
    <n v="18.3"/>
    <n v="16.88"/>
    <n v="105"/>
    <x v="0"/>
    <n v="70.512820509999997"/>
    <n v="84400"/>
    <n v="7100"/>
    <n v="2.1"/>
    <n v="0.76"/>
    <n v="0.02"/>
  </r>
  <r>
    <x v="1"/>
    <x v="1"/>
    <x v="1"/>
    <x v="4"/>
    <x v="3"/>
    <n v="5000"/>
    <n v="54.5"/>
    <n v="48.45"/>
    <n v="22"/>
    <x v="0"/>
    <n v="9.9415204680000002"/>
    <n v="242250"/>
    <n v="30250"/>
    <n v="0.44"/>
    <n v="0.61"/>
    <n v="0.02"/>
  </r>
  <r>
    <x v="3"/>
    <x v="3"/>
    <x v="1"/>
    <x v="2"/>
    <x v="1"/>
    <n v="5000"/>
    <n v="15.41"/>
    <n v="15.12"/>
    <n v="105"/>
    <x v="0"/>
    <n v="70.512820509999997"/>
    <n v="75600"/>
    <n v="1450"/>
    <n v="2.1"/>
    <n v="0.76"/>
    <n v="0.02"/>
  </r>
  <r>
    <x v="1"/>
    <x v="1"/>
    <x v="1"/>
    <x v="1"/>
    <x v="1"/>
    <n v="1173"/>
    <n v="61.54"/>
    <n v="55.49"/>
    <n v="172"/>
    <x v="1"/>
    <n v="70.175438600000007"/>
    <n v="65089.77"/>
    <n v="7096.65"/>
    <n v="14.663256609999999"/>
    <n v="0.39"/>
    <n v="0.09"/>
  </r>
  <r>
    <x v="4"/>
    <x v="4"/>
    <x v="1"/>
    <x v="3"/>
    <x v="1"/>
    <n v="921"/>
    <n v="51.48"/>
    <n v="50.61"/>
    <n v="33"/>
    <x v="0"/>
    <n v="72.289156629999994"/>
    <n v="46611.81"/>
    <n v="801.27"/>
    <n v="3.5830618890000001"/>
    <n v="0.98"/>
    <n v="0.11"/>
  </r>
  <r>
    <x v="2"/>
    <x v="2"/>
    <x v="0"/>
    <x v="3"/>
    <x v="2"/>
    <n v="1737"/>
    <n v="97.53"/>
    <n v="87.37"/>
    <n v="79"/>
    <x v="0"/>
    <n v="12.58741259"/>
    <n v="151761.69"/>
    <n v="17647.919999999998"/>
    <n v="4.5480713870000002"/>
    <n v="0.86"/>
    <n v="0.06"/>
  </r>
  <r>
    <x v="1"/>
    <x v="1"/>
    <x v="0"/>
    <x v="3"/>
    <x v="1"/>
    <n v="180"/>
    <n v="45.74"/>
    <n v="38.89"/>
    <n v="155"/>
    <x v="1"/>
    <n v="70.175438600000007"/>
    <n v="7000.2"/>
    <n v="1233"/>
    <n v="86.111111109999996"/>
    <n v="0.39"/>
    <n v="0.56000000000000005"/>
  </r>
  <r>
    <x v="4"/>
    <x v="4"/>
    <x v="1"/>
    <x v="4"/>
    <x v="0"/>
    <n v="1735"/>
    <n v="20.54"/>
    <n v="19.690000000000001"/>
    <n v="49"/>
    <x v="0"/>
    <n v="8.4337349400000008"/>
    <n v="34162.15"/>
    <n v="1474.75"/>
    <n v="2.8242074929999998"/>
    <n v="0.98"/>
    <n v="0.06"/>
  </r>
  <r>
    <x v="1"/>
    <x v="1"/>
    <x v="0"/>
    <x v="3"/>
    <x v="1"/>
    <n v="1382"/>
    <n v="24.93"/>
    <n v="23.75"/>
    <n v="155"/>
    <x v="0"/>
    <n v="70.175438600000007"/>
    <n v="32822.5"/>
    <n v="1630.76"/>
    <n v="11.21562952"/>
    <n v="0.61"/>
    <n v="7.0000000000000007E-2"/>
  </r>
  <r>
    <x v="4"/>
    <x v="4"/>
    <x v="1"/>
    <x v="1"/>
    <x v="1"/>
    <n v="819"/>
    <n v="80.89"/>
    <n v="77.03"/>
    <n v="29"/>
    <x v="0"/>
    <n v="72.289156629999994"/>
    <n v="63087.57"/>
    <n v="3161.34"/>
    <n v="3.540903541"/>
    <n v="0.98"/>
    <n v="0.12"/>
  </r>
  <r>
    <x v="3"/>
    <x v="3"/>
    <x v="0"/>
    <x v="0"/>
    <x v="2"/>
    <n v="393"/>
    <n v="72.53"/>
    <n v="66.31"/>
    <n v="42"/>
    <x v="1"/>
    <n v="8.3333333330000006"/>
    <n v="26059.83"/>
    <n v="2444.46"/>
    <n v="10.687022900000001"/>
    <n v="0.24"/>
    <n v="0.25"/>
  </r>
  <r>
    <x v="3"/>
    <x v="3"/>
    <x v="0"/>
    <x v="1"/>
    <x v="1"/>
    <n v="1565"/>
    <n v="21.3"/>
    <n v="20.09"/>
    <n v="161"/>
    <x v="0"/>
    <n v="70.512820509999997"/>
    <n v="31440.85"/>
    <n v="1893.65"/>
    <n v="10.28753994"/>
    <n v="0.76"/>
    <n v="0.06"/>
  </r>
  <r>
    <x v="4"/>
    <x v="4"/>
    <x v="0"/>
    <x v="2"/>
    <x v="1"/>
    <n v="1487"/>
    <n v="19.149999999999999"/>
    <n v="17.239999999999998"/>
    <n v="33"/>
    <x v="0"/>
    <n v="72.289156629999994"/>
    <n v="25635.88"/>
    <n v="2840.17"/>
    <n v="2.2192333560000002"/>
    <n v="0.98"/>
    <n v="7.0000000000000007E-2"/>
  </r>
  <r>
    <x v="0"/>
    <x v="0"/>
    <x v="0"/>
    <x v="1"/>
    <x v="1"/>
    <n v="855"/>
    <n v="78.2"/>
    <n v="67.16"/>
    <n v="17"/>
    <x v="0"/>
    <n v="75.886524820000005"/>
    <n v="57421.8"/>
    <n v="9439.2000000000007"/>
    <n v="1.9883040940000001"/>
    <n v="0.94"/>
    <n v="0.12"/>
  </r>
  <r>
    <x v="4"/>
    <x v="4"/>
    <x v="1"/>
    <x v="3"/>
    <x v="1"/>
    <n v="435"/>
    <n v="17.13"/>
    <n v="15.84"/>
    <n v="8"/>
    <x v="0"/>
    <n v="72.289156629999994"/>
    <n v="6890.4"/>
    <n v="561.15"/>
    <n v="1.8390804599999999"/>
    <n v="0.98"/>
    <n v="0.23"/>
  </r>
  <r>
    <x v="1"/>
    <x v="1"/>
    <x v="0"/>
    <x v="1"/>
    <x v="1"/>
    <n v="1265"/>
    <n v="90.26"/>
    <n v="79.47"/>
    <n v="187"/>
    <x v="0"/>
    <n v="70.175438600000007"/>
    <n v="100529.55"/>
    <n v="13649.35"/>
    <n v="14.782608700000001"/>
    <n v="0.61"/>
    <n v="0.08"/>
  </r>
  <r>
    <x v="4"/>
    <x v="4"/>
    <x v="0"/>
    <x v="1"/>
    <x v="1"/>
    <n v="1005"/>
    <n v="80.55"/>
    <n v="73.31"/>
    <n v="30"/>
    <x v="0"/>
    <n v="72.289156629999994"/>
    <n v="73676.55"/>
    <n v="7276.2"/>
    <n v="2.9850746269999999"/>
    <n v="0.98"/>
    <n v="0.1"/>
  </r>
  <r>
    <x v="2"/>
    <x v="2"/>
    <x v="1"/>
    <x v="4"/>
    <x v="1"/>
    <n v="326"/>
    <n v="18.100000000000001"/>
    <n v="15.92"/>
    <n v="55"/>
    <x v="1"/>
    <n v="72.027972030000001"/>
    <n v="5189.92"/>
    <n v="710.68"/>
    <n v="16.871165640000001"/>
    <n v="0.14000000000000001"/>
    <n v="0.31"/>
  </r>
  <r>
    <x v="0"/>
    <x v="0"/>
    <x v="1"/>
    <x v="0"/>
    <x v="1"/>
    <n v="1234"/>
    <n v="17.64"/>
    <n v="15.66"/>
    <n v="26"/>
    <x v="0"/>
    <n v="75.886524820000005"/>
    <n v="19324.439999999999"/>
    <n v="2443.3200000000002"/>
    <n v="2.106969206"/>
    <n v="0.94"/>
    <n v="0.08"/>
  </r>
  <r>
    <x v="4"/>
    <x v="4"/>
    <x v="1"/>
    <x v="1"/>
    <x v="1"/>
    <n v="509"/>
    <n v="101.27"/>
    <n v="97.82"/>
    <n v="19"/>
    <x v="0"/>
    <n v="72.289156629999994"/>
    <n v="49790.38"/>
    <n v="1756.05"/>
    <n v="3.7328094300000001"/>
    <n v="0.98"/>
    <n v="0.2"/>
  </r>
  <r>
    <x v="0"/>
    <x v="0"/>
    <x v="0"/>
    <x v="2"/>
    <x v="1"/>
    <n v="1387"/>
    <n v="48.71"/>
    <n v="43.71"/>
    <n v="27"/>
    <x v="0"/>
    <n v="75.886524820000005"/>
    <n v="60625.77"/>
    <n v="6935"/>
    <n v="1.9466474410000001"/>
    <n v="0.94"/>
    <n v="7.0000000000000007E-2"/>
  </r>
  <r>
    <x v="0"/>
    <x v="0"/>
    <x v="0"/>
    <x v="1"/>
    <x v="1"/>
    <n v="71"/>
    <n v="46.39"/>
    <n v="43.18"/>
    <n v="0"/>
    <x v="0"/>
    <n v="75.886524820000005"/>
    <n v="3065.78"/>
    <n v="227.91"/>
    <n v="0"/>
    <n v="0.94"/>
    <n v="1.41"/>
  </r>
  <r>
    <x v="4"/>
    <x v="4"/>
    <x v="1"/>
    <x v="0"/>
    <x v="1"/>
    <n v="302"/>
    <n v="87.73"/>
    <n v="81.52"/>
    <n v="9"/>
    <x v="0"/>
    <n v="72.289156629999994"/>
    <n v="24619.040000000001"/>
    <n v="1875.42"/>
    <n v="2.9801324500000002"/>
    <n v="0.98"/>
    <n v="0.33"/>
  </r>
  <r>
    <x v="4"/>
    <x v="4"/>
    <x v="1"/>
    <x v="0"/>
    <x v="3"/>
    <n v="797"/>
    <n v="99.54"/>
    <n v="91.37"/>
    <n v="18"/>
    <x v="0"/>
    <n v="10.843373489999999"/>
    <n v="72821.89"/>
    <n v="6511.49"/>
    <n v="2.25846926"/>
    <n v="0.98"/>
    <n v="0.13"/>
  </r>
  <r>
    <x v="3"/>
    <x v="3"/>
    <x v="1"/>
    <x v="0"/>
    <x v="3"/>
    <n v="906"/>
    <n v="101.21"/>
    <n v="90.9"/>
    <n v="94"/>
    <x v="0"/>
    <n v="12.179487180000001"/>
    <n v="82355.399999999994"/>
    <n v="9340.86"/>
    <n v="10.37527594"/>
    <n v="0.76"/>
    <n v="0.11"/>
  </r>
  <r>
    <x v="4"/>
    <x v="4"/>
    <x v="1"/>
    <x v="0"/>
    <x v="1"/>
    <n v="1634"/>
    <n v="80.53"/>
    <n v="76.150000000000006"/>
    <n v="50"/>
    <x v="0"/>
    <n v="72.289156629999994"/>
    <n v="124429.1"/>
    <n v="7156.92"/>
    <n v="3.0599755200000001"/>
    <n v="0.98"/>
    <n v="0.06"/>
  </r>
  <r>
    <x v="4"/>
    <x v="4"/>
    <x v="1"/>
    <x v="0"/>
    <x v="1"/>
    <n v="524"/>
    <n v="46.28"/>
    <n v="39.65"/>
    <n v="14"/>
    <x v="0"/>
    <n v="72.289156629999994"/>
    <n v="20776.599999999999"/>
    <n v="3474.12"/>
    <n v="2.6717557250000001"/>
    <n v="0.98"/>
    <n v="0.19"/>
  </r>
  <r>
    <x v="3"/>
    <x v="3"/>
    <x v="1"/>
    <x v="4"/>
    <x v="1"/>
    <n v="1132"/>
    <n v="17.78"/>
    <n v="15.36"/>
    <n v="96"/>
    <x v="0"/>
    <n v="70.512820509999997"/>
    <n v="17387.52"/>
    <n v="2739.44"/>
    <n v="8.4805653710000009"/>
    <n v="0.76"/>
    <n v="0.09"/>
  </r>
  <r>
    <x v="3"/>
    <x v="3"/>
    <x v="1"/>
    <x v="0"/>
    <x v="1"/>
    <n v="560"/>
    <n v="81.14"/>
    <n v="77.87"/>
    <n v="34"/>
    <x v="1"/>
    <n v="70.512820509999997"/>
    <n v="43607.199999999997"/>
    <n v="1831.2"/>
    <n v="6.0714285710000002"/>
    <n v="0.24"/>
    <n v="0.18"/>
  </r>
  <r>
    <x v="2"/>
    <x v="2"/>
    <x v="0"/>
    <x v="4"/>
    <x v="1"/>
    <n v="1755"/>
    <n v="63.87"/>
    <n v="58.4"/>
    <n v="85"/>
    <x v="0"/>
    <n v="72.027972030000001"/>
    <n v="102492"/>
    <n v="9599.85"/>
    <n v="4.8433048430000003"/>
    <n v="0.86"/>
    <n v="0.06"/>
  </r>
  <r>
    <x v="4"/>
    <x v="4"/>
    <x v="1"/>
    <x v="1"/>
    <x v="1"/>
    <n v="1549"/>
    <n v="48.9"/>
    <n v="42.42"/>
    <n v="48"/>
    <x v="0"/>
    <n v="72.289156629999994"/>
    <n v="65708.58"/>
    <n v="10037.52"/>
    <n v="3.098773402"/>
    <n v="0.98"/>
    <n v="0.06"/>
  </r>
  <r>
    <x v="1"/>
    <x v="1"/>
    <x v="0"/>
    <x v="1"/>
    <x v="1"/>
    <n v="749"/>
    <n v="97.07"/>
    <n v="94.16"/>
    <n v="123"/>
    <x v="0"/>
    <n v="70.175438600000007"/>
    <n v="70525.84"/>
    <n v="2179.59"/>
    <n v="16.421895859999999"/>
    <n v="0.61"/>
    <n v="0.13"/>
  </r>
  <r>
    <x v="0"/>
    <x v="0"/>
    <x v="1"/>
    <x v="4"/>
    <x v="1"/>
    <n v="1025"/>
    <n v="21.11"/>
    <n v="19.25"/>
    <n v="15"/>
    <x v="0"/>
    <n v="75.886524820000005"/>
    <n v="19731.25"/>
    <n v="1906.5"/>
    <n v="1.463414634"/>
    <n v="0.94"/>
    <n v="0.1"/>
  </r>
  <r>
    <x v="3"/>
    <x v="3"/>
    <x v="0"/>
    <x v="3"/>
    <x v="1"/>
    <n v="1856"/>
    <n v="59.77"/>
    <n v="50.81"/>
    <n v="191"/>
    <x v="0"/>
    <n v="70.512820509999997"/>
    <n v="94303.360000000001"/>
    <n v="16629.759999999998"/>
    <n v="10.29094828"/>
    <n v="0.76"/>
    <n v="0.05"/>
  </r>
  <r>
    <x v="4"/>
    <x v="4"/>
    <x v="1"/>
    <x v="0"/>
    <x v="1"/>
    <n v="239"/>
    <n v="11.46"/>
    <n v="11.28"/>
    <n v="4"/>
    <x v="0"/>
    <n v="72.289156629999994"/>
    <n v="2695.92"/>
    <n v="43.02"/>
    <n v="1.6736401670000001"/>
    <n v="0.98"/>
    <n v="0.42"/>
  </r>
  <r>
    <x v="1"/>
    <x v="1"/>
    <x v="1"/>
    <x v="0"/>
    <x v="3"/>
    <n v="1007"/>
    <n v="52.44"/>
    <n v="46.06"/>
    <n v="167"/>
    <x v="0"/>
    <n v="9.9415204680000002"/>
    <n v="46382.42"/>
    <n v="6424.66"/>
    <n v="16.583912609999999"/>
    <n v="0.61"/>
    <n v="0.1"/>
  </r>
  <r>
    <x v="0"/>
    <x v="0"/>
    <x v="0"/>
    <x v="1"/>
    <x v="3"/>
    <n v="736"/>
    <n v="16.2"/>
    <n v="15.33"/>
    <n v="18"/>
    <x v="0"/>
    <n v="7.80141844"/>
    <n v="11282.88"/>
    <n v="640.32000000000005"/>
    <n v="2.4456521740000001"/>
    <n v="0.94"/>
    <n v="0.14000000000000001"/>
  </r>
  <r>
    <x v="4"/>
    <x v="4"/>
    <x v="0"/>
    <x v="4"/>
    <x v="1"/>
    <n v="1007"/>
    <n v="22.56"/>
    <n v="19.59"/>
    <n v="33"/>
    <x v="0"/>
    <n v="72.289156629999994"/>
    <n v="19727.13"/>
    <n v="2990.79"/>
    <n v="3.2770605759999998"/>
    <n v="0.98"/>
    <n v="0.1"/>
  </r>
  <r>
    <x v="1"/>
    <x v="1"/>
    <x v="1"/>
    <x v="0"/>
    <x v="1"/>
    <n v="612"/>
    <n v="20.99"/>
    <n v="19.75"/>
    <n v="102"/>
    <x v="0"/>
    <n v="70.175438600000007"/>
    <n v="12087"/>
    <n v="758.88"/>
    <n v="16.666666670000001"/>
    <n v="0.61"/>
    <n v="0.16"/>
  </r>
  <r>
    <x v="0"/>
    <x v="0"/>
    <x v="0"/>
    <x v="1"/>
    <x v="3"/>
    <n v="1949"/>
    <n v="72.53"/>
    <n v="63.26"/>
    <n v="48"/>
    <x v="1"/>
    <n v="7.80141844"/>
    <n v="123293.74"/>
    <n v="18067.23"/>
    <n v="2.462801437"/>
    <n v="0.06"/>
    <n v="0.05"/>
  </r>
  <r>
    <x v="1"/>
    <x v="1"/>
    <x v="1"/>
    <x v="0"/>
    <x v="0"/>
    <n v="1640"/>
    <n v="77.92"/>
    <n v="76.41"/>
    <n v="262"/>
    <x v="1"/>
    <n v="9.3567251460000005"/>
    <n v="125312.4"/>
    <n v="2476.4"/>
    <n v="15.975609759999999"/>
    <n v="0.39"/>
    <n v="0.06"/>
  </r>
  <r>
    <x v="3"/>
    <x v="3"/>
    <x v="0"/>
    <x v="4"/>
    <x v="1"/>
    <n v="1317"/>
    <n v="68.13"/>
    <n v="60.52"/>
    <n v="136"/>
    <x v="0"/>
    <n v="70.512820509999997"/>
    <n v="79704.84"/>
    <n v="10022.370000000001"/>
    <n v="10.32649962"/>
    <n v="0.76"/>
    <n v="0.08"/>
  </r>
  <r>
    <x v="4"/>
    <x v="4"/>
    <x v="1"/>
    <x v="3"/>
    <x v="1"/>
    <n v="881"/>
    <n v="100.94"/>
    <n v="95.05"/>
    <n v="30"/>
    <x v="0"/>
    <n v="72.289156629999994"/>
    <n v="83739.05"/>
    <n v="5189.09"/>
    <n v="3.4052213390000001"/>
    <n v="0.98"/>
    <n v="0.11"/>
  </r>
  <r>
    <x v="1"/>
    <x v="1"/>
    <x v="0"/>
    <x v="2"/>
    <x v="1"/>
    <n v="1578"/>
    <n v="48.33"/>
    <n v="42.77"/>
    <n v="206"/>
    <x v="0"/>
    <n v="70.175438600000007"/>
    <n v="67491.06"/>
    <n v="8773.68"/>
    <n v="13.05449937"/>
    <n v="0.61"/>
    <n v="0.06"/>
  </r>
  <r>
    <x v="1"/>
    <x v="1"/>
    <x v="0"/>
    <x v="1"/>
    <x v="1"/>
    <n v="1204"/>
    <n v="39.29"/>
    <n v="35.44"/>
    <n v="155"/>
    <x v="0"/>
    <n v="70.175438600000007"/>
    <n v="42669.760000000002"/>
    <n v="4635.3999999999996"/>
    <n v="12.87375415"/>
    <n v="0.61"/>
    <n v="0.08"/>
  </r>
  <r>
    <x v="4"/>
    <x v="4"/>
    <x v="0"/>
    <x v="1"/>
    <x v="3"/>
    <n v="1558"/>
    <n v="93.46"/>
    <n v="91.27"/>
    <n v="39"/>
    <x v="0"/>
    <n v="10.843373489999999"/>
    <n v="142198.66"/>
    <n v="3412.02"/>
    <n v="2.5032092430000001"/>
    <n v="0.98"/>
    <n v="0.06"/>
  </r>
  <r>
    <x v="0"/>
    <x v="0"/>
    <x v="0"/>
    <x v="2"/>
    <x v="1"/>
    <n v="1892"/>
    <n v="32.99"/>
    <n v="28.81"/>
    <n v="35"/>
    <x v="0"/>
    <n v="75.886524820000005"/>
    <n v="54508.52"/>
    <n v="7908.56"/>
    <n v="1.8498942920000001"/>
    <n v="0.94"/>
    <n v="0.05"/>
  </r>
  <r>
    <x v="4"/>
    <x v="4"/>
    <x v="1"/>
    <x v="2"/>
    <x v="1"/>
    <n v="696"/>
    <n v="99.59"/>
    <n v="90.18"/>
    <n v="25"/>
    <x v="0"/>
    <n v="72.289156629999994"/>
    <n v="62765.279999999999"/>
    <n v="6549.36"/>
    <n v="3.591954023"/>
    <n v="0.98"/>
    <n v="0.14000000000000001"/>
  </r>
  <r>
    <x v="1"/>
    <x v="1"/>
    <x v="0"/>
    <x v="1"/>
    <x v="2"/>
    <n v="70"/>
    <n v="12.37"/>
    <n v="11.04"/>
    <n v="10"/>
    <x v="0"/>
    <n v="10.52631579"/>
    <n v="772.8"/>
    <n v="93.1"/>
    <n v="14.28571429"/>
    <n v="0.61"/>
    <n v="1.43"/>
  </r>
  <r>
    <x v="2"/>
    <x v="2"/>
    <x v="1"/>
    <x v="3"/>
    <x v="1"/>
    <n v="890"/>
    <n v="98.26"/>
    <n v="93.14"/>
    <n v="49"/>
    <x v="0"/>
    <n v="72.027972030000001"/>
    <n v="82894.600000000006"/>
    <n v="4556.8"/>
    <n v="5.5056179780000001"/>
    <n v="0.86"/>
    <n v="0.11"/>
  </r>
  <r>
    <x v="0"/>
    <x v="0"/>
    <x v="1"/>
    <x v="1"/>
    <x v="1"/>
    <n v="216"/>
    <n v="13.95"/>
    <n v="12.31"/>
    <n v="5"/>
    <x v="0"/>
    <n v="75.886524820000005"/>
    <n v="2658.96"/>
    <n v="354.24"/>
    <n v="2.3148148150000001"/>
    <n v="0.94"/>
    <n v="0.46"/>
  </r>
  <r>
    <x v="1"/>
    <x v="1"/>
    <x v="0"/>
    <x v="2"/>
    <x v="1"/>
    <n v="1347"/>
    <n v="100.13"/>
    <n v="94.3"/>
    <n v="200"/>
    <x v="0"/>
    <n v="70.175438600000007"/>
    <n v="127022.1"/>
    <n v="7853.01"/>
    <n v="14.84780995"/>
    <n v="0.61"/>
    <n v="7.0000000000000007E-2"/>
  </r>
  <r>
    <x v="2"/>
    <x v="2"/>
    <x v="1"/>
    <x v="0"/>
    <x v="2"/>
    <n v="437"/>
    <n v="59.51"/>
    <n v="56.45"/>
    <n v="25"/>
    <x v="1"/>
    <n v="12.58741259"/>
    <n v="24668.65"/>
    <n v="1337.22"/>
    <n v="5.7208237989999997"/>
    <n v="0.14000000000000001"/>
    <n v="0.23"/>
  </r>
  <r>
    <x v="0"/>
    <x v="0"/>
    <x v="1"/>
    <x v="4"/>
    <x v="1"/>
    <n v="650"/>
    <n v="103.84"/>
    <n v="88.28"/>
    <n v="12"/>
    <x v="0"/>
    <n v="75.886524820000005"/>
    <n v="57382"/>
    <n v="10114"/>
    <n v="1.846153846"/>
    <n v="0.94"/>
    <n v="0.15"/>
  </r>
  <r>
    <x v="3"/>
    <x v="3"/>
    <x v="1"/>
    <x v="0"/>
    <x v="1"/>
    <n v="365"/>
    <n v="16.809999999999999"/>
    <n v="15.41"/>
    <n v="38"/>
    <x v="0"/>
    <n v="70.512820509999997"/>
    <n v="5624.65"/>
    <n v="511"/>
    <n v="10.410958900000001"/>
    <n v="0.76"/>
    <n v="0.27"/>
  </r>
  <r>
    <x v="4"/>
    <x v="4"/>
    <x v="1"/>
    <x v="3"/>
    <x v="0"/>
    <n v="63"/>
    <n v="61.94"/>
    <n v="53.8"/>
    <n v="33"/>
    <x v="0"/>
    <n v="8.4337349400000008"/>
    <n v="3389.4"/>
    <n v="512.82000000000005"/>
    <n v="52.380952379999997"/>
    <n v="0.98"/>
    <n v="1.59"/>
  </r>
  <r>
    <x v="0"/>
    <x v="0"/>
    <x v="1"/>
    <x v="1"/>
    <x v="1"/>
    <n v="291"/>
    <n v="98.7"/>
    <n v="87.02"/>
    <n v="9"/>
    <x v="0"/>
    <n v="75.886524820000005"/>
    <n v="25322.82"/>
    <n v="3398.88"/>
    <n v="3.0927835049999999"/>
    <n v="0.94"/>
    <n v="0.34"/>
  </r>
  <r>
    <x v="0"/>
    <x v="0"/>
    <x v="0"/>
    <x v="1"/>
    <x v="0"/>
    <n v="826"/>
    <n v="60.5"/>
    <n v="57.18"/>
    <n v="18"/>
    <x v="0"/>
    <n v="9.2198581560000008"/>
    <n v="47230.68"/>
    <n v="2742.32"/>
    <n v="2.1791767549999999"/>
    <n v="0.94"/>
    <n v="0.12"/>
  </r>
  <r>
    <x v="1"/>
    <x v="1"/>
    <x v="1"/>
    <x v="4"/>
    <x v="3"/>
    <n v="1419"/>
    <n v="69.64"/>
    <n v="59.28"/>
    <n v="194"/>
    <x v="0"/>
    <n v="9.9415204680000002"/>
    <n v="84118.32"/>
    <n v="14700.84"/>
    <n v="13.67159972"/>
    <n v="0.61"/>
    <n v="7.0000000000000007E-2"/>
  </r>
  <r>
    <x v="2"/>
    <x v="2"/>
    <x v="0"/>
    <x v="0"/>
    <x v="1"/>
    <n v="614"/>
    <n v="78.06"/>
    <n v="73.95"/>
    <n v="40"/>
    <x v="0"/>
    <n v="72.027972030000001"/>
    <n v="45405.3"/>
    <n v="2523.54"/>
    <n v="6.51465798"/>
    <n v="0.86"/>
    <n v="0.16"/>
  </r>
  <r>
    <x v="0"/>
    <x v="0"/>
    <x v="0"/>
    <x v="4"/>
    <x v="1"/>
    <n v="947"/>
    <n v="56.25"/>
    <n v="54.25"/>
    <n v="19"/>
    <x v="0"/>
    <n v="75.886524820000005"/>
    <n v="51374.75"/>
    <n v="1894"/>
    <n v="2.0063357970000002"/>
    <n v="0.94"/>
    <n v="0.11"/>
  </r>
  <r>
    <x v="4"/>
    <x v="4"/>
    <x v="0"/>
    <x v="3"/>
    <x v="1"/>
    <n v="1413"/>
    <n v="70.47"/>
    <n v="69.650000000000006"/>
    <n v="33"/>
    <x v="0"/>
    <n v="72.289156629999994"/>
    <n v="98415.45"/>
    <n v="1158.6600000000001"/>
    <n v="2.3354564760000001"/>
    <n v="0.98"/>
    <n v="7.0000000000000007E-2"/>
  </r>
  <r>
    <x v="0"/>
    <x v="0"/>
    <x v="1"/>
    <x v="0"/>
    <x v="2"/>
    <n v="141"/>
    <n v="64.150000000000006"/>
    <n v="58.32"/>
    <n v="24"/>
    <x v="0"/>
    <n v="7.092198582"/>
    <n v="8223.1200000000008"/>
    <n v="822.03"/>
    <n v="17.0212766"/>
    <n v="0.94"/>
    <n v="0.71"/>
  </r>
  <r>
    <x v="0"/>
    <x v="0"/>
    <x v="0"/>
    <x v="0"/>
    <x v="1"/>
    <n v="1440"/>
    <n v="96.57"/>
    <n v="83.87"/>
    <n v="36"/>
    <x v="0"/>
    <n v="75.886524820000005"/>
    <n v="120772.8"/>
    <n v="18288"/>
    <n v="2.5"/>
    <n v="0.94"/>
    <n v="7.0000000000000007E-2"/>
  </r>
  <r>
    <x v="1"/>
    <x v="1"/>
    <x v="1"/>
    <x v="3"/>
    <x v="1"/>
    <n v="1005"/>
    <n v="14.87"/>
    <n v="12.79"/>
    <n v="155"/>
    <x v="1"/>
    <n v="70.175438600000007"/>
    <n v="12853.95"/>
    <n v="2090.4"/>
    <n v="15.42288557"/>
    <n v="0.39"/>
    <n v="0.1"/>
  </r>
  <r>
    <x v="0"/>
    <x v="0"/>
    <x v="1"/>
    <x v="1"/>
    <x v="1"/>
    <n v="1528"/>
    <n v="36.520000000000003"/>
    <n v="33"/>
    <n v="31"/>
    <x v="1"/>
    <n v="75.886524820000005"/>
    <n v="50424"/>
    <n v="5378.56"/>
    <n v="2.0287958119999998"/>
    <n v="0.06"/>
    <n v="7.0000000000000007E-2"/>
  </r>
  <r>
    <x v="2"/>
    <x v="2"/>
    <x v="0"/>
    <x v="1"/>
    <x v="1"/>
    <n v="1501"/>
    <n v="106.05"/>
    <n v="100.99"/>
    <n v="77"/>
    <x v="1"/>
    <n v="72.027972030000001"/>
    <n v="151585.99"/>
    <n v="7595.06"/>
    <n v="5.1299133909999997"/>
    <n v="0.14000000000000001"/>
    <n v="7.0000000000000007E-2"/>
  </r>
  <r>
    <x v="1"/>
    <x v="1"/>
    <x v="1"/>
    <x v="2"/>
    <x v="1"/>
    <n v="558"/>
    <n v="94.18"/>
    <n v="81.400000000000006"/>
    <n v="155"/>
    <x v="1"/>
    <n v="70.175438600000007"/>
    <n v="45421.2"/>
    <n v="7131.24"/>
    <n v="27.777777780000001"/>
    <n v="0.39"/>
    <n v="0.18"/>
  </r>
  <r>
    <x v="3"/>
    <x v="3"/>
    <x v="0"/>
    <x v="1"/>
    <x v="1"/>
    <n v="825"/>
    <n v="56.88"/>
    <n v="50.84"/>
    <n v="105"/>
    <x v="0"/>
    <n v="70.512820509999997"/>
    <n v="41943"/>
    <n v="4983"/>
    <n v="12.727272729999999"/>
    <n v="0.76"/>
    <n v="0.12"/>
  </r>
  <r>
    <x v="3"/>
    <x v="3"/>
    <x v="0"/>
    <x v="4"/>
    <x v="0"/>
    <n v="84"/>
    <n v="73.38"/>
    <n v="71.42"/>
    <n v="9"/>
    <x v="0"/>
    <n v="8.9743589739999994"/>
    <n v="5999.28"/>
    <n v="164.64"/>
    <n v="10.71428571"/>
    <n v="0.76"/>
    <n v="1.19"/>
  </r>
  <r>
    <x v="1"/>
    <x v="1"/>
    <x v="0"/>
    <x v="3"/>
    <x v="1"/>
    <n v="255"/>
    <n v="38.64"/>
    <n v="33.590000000000003"/>
    <n v="27"/>
    <x v="1"/>
    <n v="70.175438600000007"/>
    <n v="8565.4500000000007"/>
    <n v="1287.75"/>
    <n v="10.58823529"/>
    <n v="0.39"/>
    <n v="0.39"/>
  </r>
  <r>
    <x v="2"/>
    <x v="2"/>
    <x v="1"/>
    <x v="1"/>
    <x v="1"/>
    <n v="1154"/>
    <n v="27.2"/>
    <n v="26.07"/>
    <n v="58"/>
    <x v="0"/>
    <n v="72.027972030000001"/>
    <n v="30084.78"/>
    <n v="1304.02"/>
    <n v="5.0259965339999999"/>
    <n v="0.86"/>
    <n v="0.09"/>
  </r>
  <r>
    <x v="1"/>
    <x v="1"/>
    <x v="0"/>
    <x v="0"/>
    <x v="1"/>
    <n v="1635"/>
    <n v="56.91"/>
    <n v="54.37"/>
    <n v="262"/>
    <x v="1"/>
    <n v="70.175438600000007"/>
    <n v="88894.95"/>
    <n v="4152.8999999999996"/>
    <n v="16.024464829999999"/>
    <n v="0.39"/>
    <n v="0.06"/>
  </r>
  <r>
    <x v="1"/>
    <x v="1"/>
    <x v="0"/>
    <x v="3"/>
    <x v="1"/>
    <n v="1945"/>
    <n v="46.19"/>
    <n v="40.119999999999997"/>
    <n v="278"/>
    <x v="1"/>
    <n v="70.175438600000007"/>
    <n v="78033.399999999994"/>
    <n v="11806.15"/>
    <n v="14.29305913"/>
    <n v="0.39"/>
    <n v="0.05"/>
  </r>
  <r>
    <x v="1"/>
    <x v="1"/>
    <x v="1"/>
    <x v="1"/>
    <x v="2"/>
    <n v="1461"/>
    <n v="64.09"/>
    <n v="63.39"/>
    <n v="228"/>
    <x v="1"/>
    <n v="10.52631579"/>
    <n v="92612.79"/>
    <n v="1022.7"/>
    <n v="15.605749489999999"/>
    <n v="0.39"/>
    <n v="7.0000000000000007E-2"/>
  </r>
  <r>
    <x v="1"/>
    <x v="1"/>
    <x v="0"/>
    <x v="4"/>
    <x v="1"/>
    <n v="1075"/>
    <n v="18.53"/>
    <n v="16.12"/>
    <n v="147"/>
    <x v="0"/>
    <n v="70.175438600000007"/>
    <n v="17329"/>
    <n v="2590.75"/>
    <n v="13.674418599999999"/>
    <n v="0.61"/>
    <n v="0.09"/>
  </r>
  <r>
    <x v="0"/>
    <x v="0"/>
    <x v="1"/>
    <x v="2"/>
    <x v="1"/>
    <n v="1071"/>
    <n v="101.6"/>
    <n v="93.91"/>
    <n v="25"/>
    <x v="0"/>
    <n v="75.886524820000005"/>
    <n v="100577.61"/>
    <n v="8235.99"/>
    <n v="2.3342670399999998"/>
    <n v="0.94"/>
    <n v="0.09"/>
  </r>
  <r>
    <x v="4"/>
    <x v="4"/>
    <x v="1"/>
    <x v="2"/>
    <x v="3"/>
    <n v="1463"/>
    <n v="101.23"/>
    <n v="86.17"/>
    <n v="43"/>
    <x v="0"/>
    <n v="10.843373489999999"/>
    <n v="126066.71"/>
    <n v="22032.78"/>
    <n v="2.9391660970000002"/>
    <n v="0.98"/>
    <n v="7.0000000000000007E-2"/>
  </r>
  <r>
    <x v="3"/>
    <x v="3"/>
    <x v="0"/>
    <x v="3"/>
    <x v="1"/>
    <n v="615"/>
    <n v="78.3"/>
    <n v="73.680000000000007"/>
    <n v="69"/>
    <x v="0"/>
    <n v="70.512820509999997"/>
    <n v="45313.2"/>
    <n v="2841.3"/>
    <n v="11.2195122"/>
    <n v="0.76"/>
    <n v="0.16"/>
  </r>
  <r>
    <x v="2"/>
    <x v="2"/>
    <x v="0"/>
    <x v="4"/>
    <x v="1"/>
    <n v="1179"/>
    <n v="61.74"/>
    <n v="56.28"/>
    <n v="55"/>
    <x v="0"/>
    <n v="72.027972030000001"/>
    <n v="66354.12"/>
    <n v="6437.34"/>
    <n v="4.6649703139999996"/>
    <n v="0.86"/>
    <n v="0.08"/>
  </r>
  <r>
    <x v="0"/>
    <x v="0"/>
    <x v="1"/>
    <x v="4"/>
    <x v="2"/>
    <n v="1845"/>
    <n v="39.56"/>
    <n v="37.630000000000003"/>
    <n v="45"/>
    <x v="0"/>
    <n v="7.092198582"/>
    <n v="69427.350000000006"/>
    <n v="3560.85"/>
    <n v="2.4390243900000002"/>
    <n v="0.94"/>
    <n v="0.05"/>
  </r>
  <r>
    <x v="3"/>
    <x v="3"/>
    <x v="0"/>
    <x v="4"/>
    <x v="0"/>
    <n v="1895"/>
    <n v="91.98"/>
    <n v="86.27"/>
    <n v="170"/>
    <x v="0"/>
    <n v="8.9743589739999994"/>
    <n v="163481.65"/>
    <n v="10820.45"/>
    <n v="8.9709762529999999"/>
    <n v="0.76"/>
    <n v="0.05"/>
  </r>
  <r>
    <x v="4"/>
    <x v="4"/>
    <x v="0"/>
    <x v="1"/>
    <x v="2"/>
    <n v="1550"/>
    <n v="79.86"/>
    <n v="69.569999999999993"/>
    <n v="32"/>
    <x v="1"/>
    <n v="12.58741259"/>
    <n v="107833.5"/>
    <n v="15949.5"/>
    <n v="2.0645161289999998"/>
    <n v="0.86"/>
    <n v="0.06"/>
  </r>
  <r>
    <x v="1"/>
    <x v="1"/>
    <x v="0"/>
    <x v="2"/>
    <x v="1"/>
    <n v="752"/>
    <n v="26.85"/>
    <n v="24.37"/>
    <n v="155"/>
    <x v="1"/>
    <n v="70.175438600000007"/>
    <n v="18326.240000000002"/>
    <n v="1864.96"/>
    <n v="20.611702130000001"/>
    <n v="0.39"/>
    <n v="0.13"/>
  </r>
  <r>
    <x v="4"/>
    <x v="4"/>
    <x v="1"/>
    <x v="4"/>
    <x v="1"/>
    <n v="451"/>
    <n v="95.2"/>
    <n v="90.07"/>
    <n v="21"/>
    <x v="0"/>
    <n v="72.289156629999994"/>
    <n v="40621.57"/>
    <n v="2313.63"/>
    <n v="4.6563192899999999"/>
    <n v="0.98"/>
    <n v="0.22"/>
  </r>
  <r>
    <x v="3"/>
    <x v="3"/>
    <x v="0"/>
    <x v="0"/>
    <x v="1"/>
    <n v="779"/>
    <n v="93.69"/>
    <n v="90.92"/>
    <n v="66"/>
    <x v="0"/>
    <n v="70.512820509999997"/>
    <n v="70826.679999999993"/>
    <n v="2157.83"/>
    <n v="8.4724005130000002"/>
    <n v="0.76"/>
    <n v="0.13"/>
  </r>
  <r>
    <x v="3"/>
    <x v="3"/>
    <x v="1"/>
    <x v="1"/>
    <x v="3"/>
    <n v="1629"/>
    <n v="100.26"/>
    <n v="86.44"/>
    <n v="187"/>
    <x v="1"/>
    <n v="12.179487180000001"/>
    <n v="140810.76"/>
    <n v="22512.78"/>
    <n v="11.479435240000001"/>
    <n v="0.24"/>
    <n v="0.06"/>
  </r>
  <r>
    <x v="0"/>
    <x v="0"/>
    <x v="1"/>
    <x v="0"/>
    <x v="1"/>
    <n v="211"/>
    <n v="75.69"/>
    <n v="65.400000000000006"/>
    <n v="2"/>
    <x v="0"/>
    <n v="75.886524820000005"/>
    <n v="13799.4"/>
    <n v="2171.19"/>
    <n v="0.947867299"/>
    <n v="0.94"/>
    <n v="0.47"/>
  </r>
  <r>
    <x v="0"/>
    <x v="0"/>
    <x v="1"/>
    <x v="0"/>
    <x v="1"/>
    <n v="251"/>
    <n v="67.489999999999995"/>
    <n v="64.48"/>
    <n v="2"/>
    <x v="0"/>
    <n v="75.886524820000005"/>
    <n v="16184.48"/>
    <n v="755.51"/>
    <n v="0.79681274899999999"/>
    <n v="0.94"/>
    <n v="0.4"/>
  </r>
  <r>
    <x v="2"/>
    <x v="2"/>
    <x v="1"/>
    <x v="3"/>
    <x v="1"/>
    <n v="1045"/>
    <n v="47.88"/>
    <n v="44.65"/>
    <n v="69"/>
    <x v="0"/>
    <n v="72.027972030000001"/>
    <n v="46659.25"/>
    <n v="3375.35"/>
    <n v="6.602870813"/>
    <n v="0.86"/>
    <n v="0.1"/>
  </r>
  <r>
    <x v="1"/>
    <x v="1"/>
    <x v="1"/>
    <x v="1"/>
    <x v="1"/>
    <n v="319"/>
    <n v="98.64"/>
    <n v="89.15"/>
    <n v="57"/>
    <x v="0"/>
    <n v="70.175438600000007"/>
    <n v="28438.85"/>
    <n v="3027.31"/>
    <n v="17.868338560000002"/>
    <n v="0.61"/>
    <n v="0.31"/>
  </r>
  <r>
    <x v="4"/>
    <x v="4"/>
    <x v="0"/>
    <x v="0"/>
    <x v="2"/>
    <n v="1936"/>
    <n v="93.66"/>
    <n v="92.24"/>
    <n v="58"/>
    <x v="0"/>
    <n v="8.4337349400000008"/>
    <n v="178576.64000000001"/>
    <n v="2749.12"/>
    <n v="2.9958677690000002"/>
    <n v="0.98"/>
    <n v="0.05"/>
  </r>
  <r>
    <x v="1"/>
    <x v="1"/>
    <x v="1"/>
    <x v="1"/>
    <x v="0"/>
    <n v="865"/>
    <n v="14.7"/>
    <n v="13.14"/>
    <n v="135"/>
    <x v="1"/>
    <n v="9.3567251460000005"/>
    <n v="11366.1"/>
    <n v="1349.4"/>
    <n v="15.60693642"/>
    <n v="0.39"/>
    <n v="0.12"/>
  </r>
  <r>
    <x v="4"/>
    <x v="4"/>
    <x v="1"/>
    <x v="4"/>
    <x v="1"/>
    <n v="1344"/>
    <n v="12.5"/>
    <n v="10.87"/>
    <n v="44"/>
    <x v="0"/>
    <n v="72.289156629999994"/>
    <n v="14609.28"/>
    <n v="2190.7199999999998"/>
    <n v="3.2738095239999998"/>
    <n v="0.98"/>
    <n v="7.0000000000000007E-2"/>
  </r>
  <r>
    <x v="1"/>
    <x v="1"/>
    <x v="1"/>
    <x v="3"/>
    <x v="3"/>
    <n v="505"/>
    <n v="45.42"/>
    <n v="40.369999999999997"/>
    <n v="62"/>
    <x v="0"/>
    <n v="9.9415204680000002"/>
    <n v="20386.849999999999"/>
    <n v="2550.25"/>
    <n v="12.277227720000001"/>
    <n v="0.61"/>
    <n v="0.2"/>
  </r>
  <r>
    <x v="3"/>
    <x v="3"/>
    <x v="0"/>
    <x v="2"/>
    <x v="1"/>
    <n v="1535"/>
    <n v="90.83"/>
    <n v="78.28"/>
    <n v="151"/>
    <x v="1"/>
    <n v="70.512820509999997"/>
    <n v="120159.8"/>
    <n v="19264.25"/>
    <n v="9.8371335500000008"/>
    <n v="0.24"/>
    <n v="7.0000000000000007E-2"/>
  </r>
  <r>
    <x v="3"/>
    <x v="3"/>
    <x v="1"/>
    <x v="0"/>
    <x v="1"/>
    <n v="1800"/>
    <n v="103.8"/>
    <n v="96.27"/>
    <n v="166"/>
    <x v="0"/>
    <n v="70.512820509999997"/>
    <n v="173286"/>
    <n v="13554"/>
    <n v="9.2222222219999992"/>
    <n v="0.76"/>
    <n v="0.06"/>
  </r>
  <r>
    <x v="1"/>
    <x v="1"/>
    <x v="1"/>
    <x v="3"/>
    <x v="3"/>
    <n v="1325"/>
    <n v="24.36"/>
    <n v="22.75"/>
    <n v="206"/>
    <x v="0"/>
    <n v="9.9415204680000002"/>
    <n v="30143.75"/>
    <n v="2133.25"/>
    <n v="15.54716981"/>
    <n v="0.61"/>
    <n v="0.08"/>
  </r>
  <r>
    <x v="2"/>
    <x v="2"/>
    <x v="0"/>
    <x v="3"/>
    <x v="1"/>
    <n v="1066"/>
    <n v="70.45"/>
    <n v="65.88"/>
    <n v="56"/>
    <x v="1"/>
    <n v="72.027972030000001"/>
    <n v="70228.08"/>
    <n v="4871.62"/>
    <n v="5.2532833019999998"/>
    <n v="0.14000000000000001"/>
    <n v="0.09"/>
  </r>
  <r>
    <x v="3"/>
    <x v="3"/>
    <x v="0"/>
    <x v="3"/>
    <x v="1"/>
    <n v="1775"/>
    <n v="47.82"/>
    <n v="45.86"/>
    <n v="180"/>
    <x v="0"/>
    <n v="70.512820509999997"/>
    <n v="81401.5"/>
    <n v="3479"/>
    <n v="10.140845069999999"/>
    <n v="0.76"/>
    <n v="0.06"/>
  </r>
  <r>
    <x v="2"/>
    <x v="2"/>
    <x v="0"/>
    <x v="3"/>
    <x v="2"/>
    <n v="345"/>
    <n v="103.62"/>
    <n v="98.09"/>
    <n v="25"/>
    <x v="1"/>
    <n v="12.58741259"/>
    <n v="33841.050000000003"/>
    <n v="1907.85"/>
    <n v="7.2463768120000003"/>
    <n v="0.14000000000000001"/>
    <n v="0.28999999999999998"/>
  </r>
  <r>
    <x v="3"/>
    <x v="3"/>
    <x v="0"/>
    <x v="4"/>
    <x v="1"/>
    <n v="1798"/>
    <n v="94.8"/>
    <n v="91.83"/>
    <n v="105"/>
    <x v="0"/>
    <n v="70.512820509999997"/>
    <n v="165110.34"/>
    <n v="5340.06"/>
    <n v="5.8398220240000001"/>
    <n v="0.76"/>
    <n v="0.06"/>
  </r>
  <r>
    <x v="0"/>
    <x v="0"/>
    <x v="0"/>
    <x v="1"/>
    <x v="1"/>
    <n v="769"/>
    <n v="91.86"/>
    <n v="86.55"/>
    <n v="17"/>
    <x v="0"/>
    <n v="75.886524820000005"/>
    <n v="66556.95"/>
    <n v="4083.39"/>
    <n v="2.2106631989999999"/>
    <n v="0.94"/>
    <n v="0.13"/>
  </r>
  <r>
    <x v="0"/>
    <x v="0"/>
    <x v="1"/>
    <x v="2"/>
    <x v="1"/>
    <n v="1822"/>
    <n v="53.23"/>
    <n v="47.49"/>
    <n v="39"/>
    <x v="0"/>
    <n v="75.886524820000005"/>
    <n v="86526.78"/>
    <n v="10458.280000000001"/>
    <n v="2.14050494"/>
    <n v="0.94"/>
    <n v="0.05"/>
  </r>
  <r>
    <x v="1"/>
    <x v="1"/>
    <x v="1"/>
    <x v="2"/>
    <x v="1"/>
    <n v="387"/>
    <n v="49.23"/>
    <n v="45.41"/>
    <n v="61"/>
    <x v="0"/>
    <n v="70.175438600000007"/>
    <n v="17573.669999999998"/>
    <n v="1478.34"/>
    <n v="15.7622739"/>
    <n v="0.61"/>
    <n v="0.26"/>
  </r>
  <r>
    <x v="4"/>
    <x v="4"/>
    <x v="1"/>
    <x v="1"/>
    <x v="1"/>
    <n v="928"/>
    <n v="35.299999999999997"/>
    <n v="32.520000000000003"/>
    <n v="26"/>
    <x v="0"/>
    <n v="72.289156629999994"/>
    <n v="30178.560000000001"/>
    <n v="2579.84"/>
    <n v="2.801724138"/>
    <n v="0.98"/>
    <n v="0.11"/>
  </r>
  <r>
    <x v="0"/>
    <x v="0"/>
    <x v="1"/>
    <x v="2"/>
    <x v="2"/>
    <n v="1126"/>
    <n v="15.68"/>
    <n v="14.97"/>
    <n v="27"/>
    <x v="0"/>
    <n v="7.092198582"/>
    <n v="16856.22"/>
    <n v="799.46"/>
    <n v="2.3978685610000001"/>
    <n v="0.94"/>
    <n v="0.09"/>
  </r>
  <r>
    <x v="3"/>
    <x v="3"/>
    <x v="0"/>
    <x v="3"/>
    <x v="0"/>
    <n v="841"/>
    <n v="95.73"/>
    <n v="85.33"/>
    <n v="81"/>
    <x v="0"/>
    <n v="8.9743589739999994"/>
    <n v="71762.53"/>
    <n v="8746.4"/>
    <n v="9.6313912009999996"/>
    <n v="0.76"/>
    <n v="0.12"/>
  </r>
  <r>
    <x v="3"/>
    <x v="3"/>
    <x v="0"/>
    <x v="4"/>
    <x v="1"/>
    <n v="1995"/>
    <n v="90.65"/>
    <n v="77.75"/>
    <n v="206"/>
    <x v="0"/>
    <n v="70.512820509999997"/>
    <n v="155111.25"/>
    <n v="25735.5"/>
    <n v="10.32581454"/>
    <n v="0.76"/>
    <n v="0.05"/>
  </r>
  <r>
    <x v="0"/>
    <x v="0"/>
    <x v="1"/>
    <x v="3"/>
    <x v="1"/>
    <n v="266"/>
    <n v="103.97"/>
    <n v="101.44"/>
    <n v="6"/>
    <x v="0"/>
    <n v="75.886524820000005"/>
    <n v="26983.040000000001"/>
    <n v="672.98"/>
    <n v="2.2556390980000001"/>
    <n v="0.94"/>
    <n v="0.38"/>
  </r>
  <r>
    <x v="0"/>
    <x v="0"/>
    <x v="0"/>
    <x v="3"/>
    <x v="0"/>
    <n v="813"/>
    <n v="109.17"/>
    <n v="107.39"/>
    <n v="14"/>
    <x v="0"/>
    <n v="9.2198581560000008"/>
    <n v="87308.07"/>
    <n v="1447.14"/>
    <n v="1.7220172199999999"/>
    <n v="0.94"/>
    <n v="0.12"/>
  </r>
  <r>
    <x v="4"/>
    <x v="4"/>
    <x v="0"/>
    <x v="4"/>
    <x v="1"/>
    <n v="237"/>
    <n v="64.19"/>
    <n v="59.01"/>
    <n v="7"/>
    <x v="0"/>
    <n v="72.289156629999994"/>
    <n v="13985.37"/>
    <n v="1227.6600000000001"/>
    <n v="2.9535864979999999"/>
    <n v="0.98"/>
    <n v="0.42"/>
  </r>
  <r>
    <x v="0"/>
    <x v="0"/>
    <x v="0"/>
    <x v="0"/>
    <x v="0"/>
    <n v="429"/>
    <n v="86.73"/>
    <n v="75.09"/>
    <n v="9"/>
    <x v="0"/>
    <n v="9.2198581560000008"/>
    <n v="32213.61"/>
    <n v="4993.5600000000004"/>
    <n v="2.097902098"/>
    <n v="0.94"/>
    <n v="0.23"/>
  </r>
  <r>
    <x v="1"/>
    <x v="1"/>
    <x v="0"/>
    <x v="2"/>
    <x v="1"/>
    <n v="542"/>
    <n v="101.21"/>
    <n v="93.11"/>
    <n v="78"/>
    <x v="1"/>
    <n v="70.175438600000007"/>
    <n v="50465.62"/>
    <n v="4390.2"/>
    <n v="14.39114391"/>
    <n v="0.39"/>
    <n v="0.18"/>
  </r>
  <r>
    <x v="4"/>
    <x v="4"/>
    <x v="0"/>
    <x v="4"/>
    <x v="1"/>
    <n v="1114"/>
    <n v="91.66"/>
    <n v="85.53"/>
    <n v="35"/>
    <x v="0"/>
    <n v="72.289156629999994"/>
    <n v="95280.42"/>
    <n v="6828.82"/>
    <n v="3.1418312390000001"/>
    <n v="0.98"/>
    <n v="0.09"/>
  </r>
  <r>
    <x v="0"/>
    <x v="0"/>
    <x v="1"/>
    <x v="1"/>
    <x v="1"/>
    <n v="1230"/>
    <n v="33.39"/>
    <n v="30.85"/>
    <n v="26"/>
    <x v="0"/>
    <n v="75.886524820000005"/>
    <n v="37945.5"/>
    <n v="3124.2"/>
    <n v="2.113821138"/>
    <n v="0.94"/>
    <n v="0.08"/>
  </r>
  <r>
    <x v="3"/>
    <x v="3"/>
    <x v="1"/>
    <x v="1"/>
    <x v="1"/>
    <n v="64"/>
    <n v="51.56"/>
    <n v="50.88"/>
    <n v="5"/>
    <x v="0"/>
    <n v="70.512820509999997"/>
    <n v="3256.32"/>
    <n v="43.52"/>
    <n v="7.8125"/>
    <n v="0.76"/>
    <n v="1.56"/>
  </r>
  <r>
    <x v="0"/>
    <x v="0"/>
    <x v="0"/>
    <x v="1"/>
    <x v="1"/>
    <n v="1886"/>
    <n v="23.46"/>
    <n v="23.18"/>
    <n v="24"/>
    <x v="0"/>
    <n v="75.886524820000005"/>
    <n v="43717.48"/>
    <n v="528.08000000000004"/>
    <n v="1.272534464"/>
    <n v="0.94"/>
    <n v="0.05"/>
  </r>
  <r>
    <x v="1"/>
    <x v="1"/>
    <x v="0"/>
    <x v="0"/>
    <x v="1"/>
    <n v="114"/>
    <n v="103.53"/>
    <n v="101.54"/>
    <n v="14"/>
    <x v="0"/>
    <n v="70.175438600000007"/>
    <n v="11575.56"/>
    <n v="226.86"/>
    <n v="12.28070175"/>
    <n v="0.61"/>
    <n v="0.88"/>
  </r>
  <r>
    <x v="1"/>
    <x v="1"/>
    <x v="1"/>
    <x v="4"/>
    <x v="0"/>
    <n v="1930"/>
    <n v="65.52"/>
    <n v="56.9"/>
    <n v="282"/>
    <x v="0"/>
    <n v="9.3567251460000005"/>
    <n v="109817"/>
    <n v="16636.599999999999"/>
    <n v="14.611398960000001"/>
    <n v="0.61"/>
    <n v="0.05"/>
  </r>
  <r>
    <x v="3"/>
    <x v="3"/>
    <x v="1"/>
    <x v="0"/>
    <x v="3"/>
    <n v="1912"/>
    <n v="30.73"/>
    <n v="29.82"/>
    <n v="191"/>
    <x v="0"/>
    <n v="12.179487180000001"/>
    <n v="57015.839999999997"/>
    <n v="1739.92"/>
    <n v="9.9895397490000004"/>
    <n v="0.76"/>
    <n v="0.05"/>
  </r>
  <r>
    <x v="4"/>
    <x v="4"/>
    <x v="1"/>
    <x v="1"/>
    <x v="1"/>
    <n v="570"/>
    <n v="71.510000000000005"/>
    <n v="66.47"/>
    <n v="33"/>
    <x v="0"/>
    <n v="72.289156629999994"/>
    <n v="37887.9"/>
    <n v="2872.8"/>
    <n v="5.7894736839999998"/>
    <n v="0.98"/>
    <n v="0.18"/>
  </r>
  <r>
    <x v="3"/>
    <x v="3"/>
    <x v="1"/>
    <x v="3"/>
    <x v="1"/>
    <n v="1417"/>
    <n v="67.27"/>
    <n v="60.62"/>
    <n v="105"/>
    <x v="0"/>
    <n v="70.512820509999997"/>
    <n v="85898.54"/>
    <n v="9423.0499999999993"/>
    <n v="7.4100211710000004"/>
    <n v="0.76"/>
    <n v="7.0000000000000007E-2"/>
  </r>
  <r>
    <x v="0"/>
    <x v="0"/>
    <x v="0"/>
    <x v="3"/>
    <x v="1"/>
    <n v="1202"/>
    <n v="46.67"/>
    <n v="44.13"/>
    <n v="21"/>
    <x v="1"/>
    <n v="75.886524820000005"/>
    <n v="53044.26"/>
    <n v="3053.08"/>
    <n v="1.747088186"/>
    <n v="0.06"/>
    <n v="0.08"/>
  </r>
  <r>
    <x v="3"/>
    <x v="3"/>
    <x v="1"/>
    <x v="0"/>
    <x v="1"/>
    <n v="697"/>
    <n v="20.73"/>
    <n v="19.829999999999998"/>
    <n v="78"/>
    <x v="1"/>
    <n v="70.512820509999997"/>
    <n v="13821.51"/>
    <n v="627.29999999999995"/>
    <n v="11.190817790000001"/>
    <n v="0.24"/>
    <n v="0.14000000000000001"/>
  </r>
  <r>
    <x v="4"/>
    <x v="4"/>
    <x v="0"/>
    <x v="1"/>
    <x v="1"/>
    <n v="1545"/>
    <n v="78.19"/>
    <n v="76.91"/>
    <n v="42"/>
    <x v="0"/>
    <n v="72.289156629999994"/>
    <n v="118825.95"/>
    <n v="1977.6"/>
    <n v="2.7184466020000002"/>
    <n v="0.98"/>
    <n v="0.06"/>
  </r>
  <r>
    <x v="2"/>
    <x v="2"/>
    <x v="0"/>
    <x v="1"/>
    <x v="2"/>
    <n v="1136"/>
    <n v="60.81"/>
    <n v="58.25"/>
    <n v="62"/>
    <x v="0"/>
    <n v="12.58741259"/>
    <n v="66172"/>
    <n v="2908.16"/>
    <n v="5.4577464789999999"/>
    <n v="0.86"/>
    <n v="0.09"/>
  </r>
  <r>
    <x v="3"/>
    <x v="3"/>
    <x v="0"/>
    <x v="1"/>
    <x v="1"/>
    <n v="1212"/>
    <n v="87.46"/>
    <n v="74.55"/>
    <n v="118"/>
    <x v="1"/>
    <n v="70.512820509999997"/>
    <n v="90354.6"/>
    <n v="15646.92"/>
    <n v="9.7359735969999992"/>
    <n v="0.24"/>
    <n v="0.08"/>
  </r>
  <r>
    <x v="4"/>
    <x v="4"/>
    <x v="1"/>
    <x v="1"/>
    <x v="1"/>
    <n v="1572"/>
    <n v="57.38"/>
    <n v="49.32"/>
    <n v="40"/>
    <x v="0"/>
    <n v="72.289156629999994"/>
    <n v="77531.039999999994"/>
    <n v="12670.32"/>
    <n v="2.5445292620000002"/>
    <n v="0.98"/>
    <n v="0.06"/>
  </r>
  <r>
    <x v="2"/>
    <x v="2"/>
    <x v="0"/>
    <x v="4"/>
    <x v="1"/>
    <n v="642"/>
    <n v="91.9"/>
    <n v="81.489999999999995"/>
    <n v="26"/>
    <x v="0"/>
    <n v="72.027972030000001"/>
    <n v="52316.58"/>
    <n v="6683.22"/>
    <n v="4.0498442370000003"/>
    <n v="0.86"/>
    <n v="0.16"/>
  </r>
  <r>
    <x v="4"/>
    <x v="4"/>
    <x v="0"/>
    <x v="0"/>
    <x v="1"/>
    <n v="441"/>
    <n v="63.25"/>
    <n v="54.12"/>
    <n v="16"/>
    <x v="0"/>
    <n v="72.289156629999994"/>
    <n v="23866.92"/>
    <n v="4026.33"/>
    <n v="3.6281179140000002"/>
    <n v="0.98"/>
    <n v="0.23"/>
  </r>
  <r>
    <x v="4"/>
    <x v="4"/>
    <x v="0"/>
    <x v="0"/>
    <x v="1"/>
    <n v="1748"/>
    <n v="66.53"/>
    <n v="57.11"/>
    <n v="33"/>
    <x v="0"/>
    <n v="72.289156629999994"/>
    <n v="99828.28"/>
    <n v="16466.16"/>
    <n v="1.8878718539999999"/>
    <n v="0.98"/>
    <n v="0.06"/>
  </r>
  <r>
    <x v="2"/>
    <x v="2"/>
    <x v="0"/>
    <x v="4"/>
    <x v="3"/>
    <n v="468"/>
    <n v="95.57"/>
    <n v="91.8"/>
    <n v="24"/>
    <x v="0"/>
    <n v="11.188811189999999"/>
    <n v="42962.400000000001"/>
    <n v="1764.36"/>
    <n v="5.1282051280000003"/>
    <n v="0.86"/>
    <n v="0.21"/>
  </r>
  <r>
    <x v="3"/>
    <x v="3"/>
    <x v="0"/>
    <x v="3"/>
    <x v="1"/>
    <n v="338"/>
    <n v="50.25"/>
    <n v="46.28"/>
    <n v="49"/>
    <x v="1"/>
    <n v="70.512820509999997"/>
    <n v="15642.64"/>
    <n v="1341.86"/>
    <n v="14.49704142"/>
    <n v="0.24"/>
    <n v="0.3"/>
  </r>
  <r>
    <x v="2"/>
    <x v="2"/>
    <x v="1"/>
    <x v="0"/>
    <x v="1"/>
    <n v="428"/>
    <n v="22.94"/>
    <n v="21.52"/>
    <n v="26"/>
    <x v="0"/>
    <n v="72.027972030000001"/>
    <n v="9210.56"/>
    <n v="607.76"/>
    <n v="6.0747663550000004"/>
    <n v="0.86"/>
    <n v="0.23"/>
  </r>
  <r>
    <x v="3"/>
    <x v="3"/>
    <x v="0"/>
    <x v="2"/>
    <x v="1"/>
    <n v="1846"/>
    <n v="13.72"/>
    <n v="12.62"/>
    <n v="216"/>
    <x v="0"/>
    <n v="70.512820509999997"/>
    <n v="23296.52"/>
    <n v="2030.6"/>
    <n v="11.700975079999999"/>
    <n v="0.76"/>
    <n v="0.05"/>
  </r>
  <r>
    <x v="4"/>
    <x v="4"/>
    <x v="1"/>
    <x v="0"/>
    <x v="1"/>
    <n v="1563"/>
    <n v="77.959999999999994"/>
    <n v="70.8"/>
    <n v="41"/>
    <x v="0"/>
    <n v="72.289156629999994"/>
    <n v="110660.4"/>
    <n v="11191.08"/>
    <n v="2.6231605889999998"/>
    <n v="0.98"/>
    <n v="0.06"/>
  </r>
  <r>
    <x v="3"/>
    <x v="3"/>
    <x v="0"/>
    <x v="0"/>
    <x v="1"/>
    <n v="280"/>
    <n v="73.069999999999993"/>
    <n v="69.290000000000006"/>
    <n v="30"/>
    <x v="0"/>
    <n v="70.512820509999997"/>
    <n v="19401.2"/>
    <n v="1058.4000000000001"/>
    <n v="10.71428571"/>
    <n v="0.76"/>
    <n v="0.36"/>
  </r>
  <r>
    <x v="1"/>
    <x v="1"/>
    <x v="1"/>
    <x v="3"/>
    <x v="1"/>
    <n v="1067"/>
    <n v="74.47"/>
    <n v="64.16"/>
    <n v="155"/>
    <x v="1"/>
    <n v="70.175438600000007"/>
    <n v="68458.720000000001"/>
    <n v="11000.77"/>
    <n v="14.526710400000001"/>
    <n v="0.39"/>
    <n v="0.09"/>
  </r>
  <r>
    <x v="2"/>
    <x v="2"/>
    <x v="0"/>
    <x v="4"/>
    <x v="3"/>
    <n v="90"/>
    <n v="32.380000000000003"/>
    <n v="29.96"/>
    <n v="7"/>
    <x v="0"/>
    <n v="11.188811189999999"/>
    <n v="2696.4"/>
    <n v="217.8"/>
    <n v="7.7777777779999999"/>
    <n v="0.86"/>
    <n v="1.1100000000000001"/>
  </r>
  <r>
    <x v="2"/>
    <x v="2"/>
    <x v="0"/>
    <x v="3"/>
    <x v="1"/>
    <n v="1101"/>
    <n v="24.28"/>
    <n v="22.73"/>
    <n v="59"/>
    <x v="1"/>
    <n v="72.027972030000001"/>
    <n v="25025.73"/>
    <n v="1706.55"/>
    <n v="5.3587647589999996"/>
    <n v="0.14000000000000001"/>
    <n v="0.09"/>
  </r>
  <r>
    <x v="0"/>
    <x v="0"/>
    <x v="1"/>
    <x v="3"/>
    <x v="1"/>
    <n v="184"/>
    <n v="11.82"/>
    <n v="10.51"/>
    <n v="4"/>
    <x v="0"/>
    <n v="75.886524820000005"/>
    <n v="1933.84"/>
    <n v="241.04"/>
    <n v="2.1739130430000002"/>
    <n v="0.94"/>
    <n v="0.54"/>
  </r>
  <r>
    <x v="4"/>
    <x v="4"/>
    <x v="0"/>
    <x v="4"/>
    <x v="1"/>
    <n v="250"/>
    <n v="45.92"/>
    <n v="41.02"/>
    <n v="3"/>
    <x v="0"/>
    <n v="72.289156629999994"/>
    <n v="10255"/>
    <n v="1225"/>
    <n v="1.2"/>
    <n v="0.98"/>
    <n v="0.4"/>
  </r>
  <r>
    <x v="4"/>
    <x v="4"/>
    <x v="1"/>
    <x v="2"/>
    <x v="0"/>
    <n v="1913"/>
    <n v="66.56"/>
    <n v="61.34"/>
    <n v="61"/>
    <x v="0"/>
    <n v="8.4337349400000008"/>
    <n v="117343.42"/>
    <n v="9985.86"/>
    <n v="3.1887088339999998"/>
    <n v="0.98"/>
    <n v="0.05"/>
  </r>
  <r>
    <x v="3"/>
    <x v="3"/>
    <x v="1"/>
    <x v="4"/>
    <x v="1"/>
    <n v="829"/>
    <n v="45.98"/>
    <n v="40.39"/>
    <n v="105"/>
    <x v="0"/>
    <n v="70.512820509999997"/>
    <n v="33483.31"/>
    <n v="4634.1099999999997"/>
    <n v="12.665862479999999"/>
    <n v="0.76"/>
    <n v="0.12"/>
  </r>
  <r>
    <x v="1"/>
    <x v="1"/>
    <x v="1"/>
    <x v="3"/>
    <x v="1"/>
    <n v="979"/>
    <n v="51.59"/>
    <n v="49.69"/>
    <n v="148"/>
    <x v="0"/>
    <n v="70.175438600000007"/>
    <n v="48646.51"/>
    <n v="1860.1"/>
    <n v="15.117466800000001"/>
    <n v="0.61"/>
    <n v="0.1"/>
  </r>
  <r>
    <x v="4"/>
    <x v="4"/>
    <x v="0"/>
    <x v="4"/>
    <x v="2"/>
    <n v="1106"/>
    <n v="97.77"/>
    <n v="90.45"/>
    <n v="31"/>
    <x v="0"/>
    <n v="8.4337349400000008"/>
    <n v="100037.7"/>
    <n v="8095.92"/>
    <n v="2.8028933089999999"/>
    <n v="0.98"/>
    <n v="0.09"/>
  </r>
  <r>
    <x v="1"/>
    <x v="1"/>
    <x v="1"/>
    <x v="0"/>
    <x v="3"/>
    <n v="1121"/>
    <n v="42.38"/>
    <n v="38.340000000000003"/>
    <n v="152"/>
    <x v="0"/>
    <n v="9.9415204680000002"/>
    <n v="42979.14"/>
    <n v="4528.84"/>
    <n v="13.559322030000001"/>
    <n v="0.61"/>
    <n v="0.09"/>
  </r>
  <r>
    <x v="0"/>
    <x v="0"/>
    <x v="0"/>
    <x v="0"/>
    <x v="1"/>
    <n v="552"/>
    <n v="60.48"/>
    <n v="56.78"/>
    <n v="10"/>
    <x v="0"/>
    <n v="75.886524820000005"/>
    <n v="31342.560000000001"/>
    <n v="2042.4"/>
    <n v="1.8115942030000001"/>
    <n v="0.94"/>
    <n v="0.18"/>
  </r>
  <r>
    <x v="2"/>
    <x v="2"/>
    <x v="1"/>
    <x v="2"/>
    <x v="1"/>
    <n v="456"/>
    <n v="80.53"/>
    <n v="77.86"/>
    <n v="26"/>
    <x v="0"/>
    <n v="72.027972030000001"/>
    <n v="35504.160000000003"/>
    <n v="1217.52"/>
    <n v="5.7017543860000002"/>
    <n v="0.86"/>
    <n v="0.22"/>
  </r>
  <r>
    <x v="1"/>
    <x v="1"/>
    <x v="1"/>
    <x v="2"/>
    <x v="1"/>
    <n v="1647"/>
    <n v="47.52"/>
    <n v="44.92"/>
    <n v="155"/>
    <x v="0"/>
    <n v="70.175438600000007"/>
    <n v="73983.240000000005"/>
    <n v="4282.2"/>
    <n v="9.4110503950000002"/>
    <n v="0.61"/>
    <n v="0.06"/>
  </r>
  <r>
    <x v="4"/>
    <x v="4"/>
    <x v="0"/>
    <x v="4"/>
    <x v="3"/>
    <n v="1801"/>
    <n v="71.27"/>
    <n v="61.24"/>
    <n v="43"/>
    <x v="0"/>
    <n v="10.843373489999999"/>
    <n v="110293.24"/>
    <n v="18064.03"/>
    <n v="2.3875624649999998"/>
    <n v="0.98"/>
    <n v="0.06"/>
  </r>
  <r>
    <x v="2"/>
    <x v="2"/>
    <x v="1"/>
    <x v="4"/>
    <x v="1"/>
    <n v="854"/>
    <n v="90.24"/>
    <n v="85.53"/>
    <n v="55"/>
    <x v="0"/>
    <n v="72.027972030000001"/>
    <n v="73042.62"/>
    <n v="4022.34"/>
    <n v="6.4402810300000004"/>
    <n v="0.86"/>
    <n v="0.12"/>
  </r>
  <r>
    <x v="1"/>
    <x v="1"/>
    <x v="0"/>
    <x v="4"/>
    <x v="1"/>
    <n v="148"/>
    <n v="103.57"/>
    <n v="98.62"/>
    <n v="23"/>
    <x v="1"/>
    <n v="70.175438600000007"/>
    <n v="14595.76"/>
    <n v="732.6"/>
    <n v="15.54054054"/>
    <n v="0.39"/>
    <n v="0.68"/>
  </r>
  <r>
    <x v="1"/>
    <x v="1"/>
    <x v="1"/>
    <x v="1"/>
    <x v="1"/>
    <n v="733"/>
    <n v="23.59"/>
    <n v="22.85"/>
    <n v="92"/>
    <x v="0"/>
    <n v="70.175438600000007"/>
    <n v="16749.05"/>
    <n v="542.41999999999996"/>
    <n v="12.55115962"/>
    <n v="0.61"/>
    <n v="0.14000000000000001"/>
  </r>
  <r>
    <x v="3"/>
    <x v="3"/>
    <x v="0"/>
    <x v="3"/>
    <x v="1"/>
    <n v="1945"/>
    <n v="103.2"/>
    <n v="88.56"/>
    <n v="105"/>
    <x v="0"/>
    <n v="70.512820509999997"/>
    <n v="172249.2"/>
    <n v="28474.799999999999"/>
    <n v="5.398457584"/>
    <n v="0.76"/>
    <n v="0.05"/>
  </r>
  <r>
    <x v="2"/>
    <x v="2"/>
    <x v="1"/>
    <x v="3"/>
    <x v="1"/>
    <n v="775"/>
    <n v="57"/>
    <n v="49.14"/>
    <n v="48"/>
    <x v="0"/>
    <n v="72.027972030000001"/>
    <n v="38083.5"/>
    <n v="6091.5"/>
    <n v="6.1935483869999999"/>
    <n v="0.86"/>
    <n v="0.13"/>
  </r>
  <r>
    <x v="1"/>
    <x v="1"/>
    <x v="0"/>
    <x v="2"/>
    <x v="1"/>
    <n v="1620"/>
    <n v="36.729999999999997"/>
    <n v="33.450000000000003"/>
    <n v="235"/>
    <x v="1"/>
    <n v="70.175438600000007"/>
    <n v="54189"/>
    <n v="5313.6"/>
    <n v="14.50617284"/>
    <n v="0.39"/>
    <n v="0.06"/>
  </r>
  <r>
    <x v="3"/>
    <x v="3"/>
    <x v="0"/>
    <x v="0"/>
    <x v="1"/>
    <n v="1010"/>
    <n v="55.68"/>
    <n v="50.86"/>
    <n v="105"/>
    <x v="0"/>
    <n v="70.512820509999997"/>
    <n v="51368.6"/>
    <n v="4868.2"/>
    <n v="10.3960396"/>
    <n v="0.76"/>
    <n v="0.1"/>
  </r>
  <r>
    <x v="4"/>
    <x v="4"/>
    <x v="0"/>
    <x v="0"/>
    <x v="1"/>
    <n v="1812"/>
    <n v="108.02"/>
    <n v="101.02"/>
    <n v="51"/>
    <x v="0"/>
    <n v="72.289156629999994"/>
    <n v="183048.24"/>
    <n v="12684"/>
    <n v="2.814569536"/>
    <n v="0.98"/>
    <n v="0.06"/>
  </r>
  <r>
    <x v="1"/>
    <x v="1"/>
    <x v="1"/>
    <x v="0"/>
    <x v="1"/>
    <n v="662"/>
    <n v="55.97"/>
    <n v="50"/>
    <n v="100"/>
    <x v="0"/>
    <n v="70.175438600000007"/>
    <n v="33100"/>
    <n v="3952.14"/>
    <n v="15.10574018"/>
    <n v="0.61"/>
    <n v="0.15"/>
  </r>
  <r>
    <x v="3"/>
    <x v="3"/>
    <x v="1"/>
    <x v="0"/>
    <x v="3"/>
    <n v="1535"/>
    <n v="40.58"/>
    <n v="38.71"/>
    <n v="165"/>
    <x v="0"/>
    <n v="12.179487180000001"/>
    <n v="59419.85"/>
    <n v="2870.45"/>
    <n v="10.749185669999999"/>
    <n v="0.76"/>
    <n v="7.0000000000000007E-2"/>
  </r>
  <r>
    <x v="3"/>
    <x v="3"/>
    <x v="0"/>
    <x v="3"/>
    <x v="1"/>
    <n v="692"/>
    <n v="71.03"/>
    <n v="67.739999999999995"/>
    <n v="70"/>
    <x v="0"/>
    <n v="70.512820509999997"/>
    <n v="46876.08"/>
    <n v="2276.6799999999998"/>
    <n v="10.115606939999999"/>
    <n v="0.76"/>
    <n v="0.14000000000000001"/>
  </r>
  <r>
    <x v="2"/>
    <x v="2"/>
    <x v="1"/>
    <x v="1"/>
    <x v="1"/>
    <n v="1842"/>
    <n v="32.4"/>
    <n v="28.08"/>
    <n v="96"/>
    <x v="0"/>
    <n v="72.027972030000001"/>
    <n v="51723.360000000001"/>
    <n v="7957.44"/>
    <n v="5.2117263840000003"/>
    <n v="0.86"/>
    <n v="0.05"/>
  </r>
  <r>
    <x v="3"/>
    <x v="3"/>
    <x v="0"/>
    <x v="0"/>
    <x v="0"/>
    <n v="1078"/>
    <n v="18.34"/>
    <n v="17.41"/>
    <n v="102"/>
    <x v="0"/>
    <n v="8.9743589739999994"/>
    <n v="18767.98"/>
    <n v="1002.54"/>
    <n v="9.4619666050000006"/>
    <n v="0.76"/>
    <n v="0.09"/>
  </r>
  <r>
    <x v="1"/>
    <x v="1"/>
    <x v="0"/>
    <x v="2"/>
    <x v="1"/>
    <n v="1291"/>
    <n v="23.44"/>
    <n v="22.23"/>
    <n v="155"/>
    <x v="0"/>
    <n v="70.175438600000007"/>
    <n v="28698.93"/>
    <n v="1562.11"/>
    <n v="12.006196750000001"/>
    <n v="0.61"/>
    <n v="0.08"/>
  </r>
  <r>
    <x v="0"/>
    <x v="0"/>
    <x v="1"/>
    <x v="4"/>
    <x v="1"/>
    <n v="552"/>
    <n v="21.52"/>
    <n v="18.79"/>
    <n v="13"/>
    <x v="0"/>
    <n v="75.886524820000005"/>
    <n v="10372.08"/>
    <n v="1506.96"/>
    <n v="2.355072464"/>
    <n v="0.94"/>
    <n v="0.18"/>
  </r>
  <r>
    <x v="4"/>
    <x v="4"/>
    <x v="0"/>
    <x v="4"/>
    <x v="1"/>
    <n v="816"/>
    <n v="26.04"/>
    <n v="25.61"/>
    <n v="28"/>
    <x v="0"/>
    <n v="72.289156629999994"/>
    <n v="20897.759999999998"/>
    <n v="350.88"/>
    <n v="3.4313725490000002"/>
    <n v="0.98"/>
    <n v="0.12"/>
  </r>
  <r>
    <x v="1"/>
    <x v="1"/>
    <x v="1"/>
    <x v="2"/>
    <x v="1"/>
    <n v="447"/>
    <n v="23.62"/>
    <n v="21.81"/>
    <n v="50"/>
    <x v="0"/>
    <n v="70.175438600000007"/>
    <n v="9749.07"/>
    <n v="809.07"/>
    <n v="11.185682330000001"/>
    <n v="0.61"/>
    <n v="0.22"/>
  </r>
  <r>
    <x v="1"/>
    <x v="1"/>
    <x v="0"/>
    <x v="2"/>
    <x v="2"/>
    <n v="920"/>
    <n v="73.09"/>
    <n v="70.14"/>
    <n v="155"/>
    <x v="0"/>
    <n v="10.52631579"/>
    <n v="64528.800000000003"/>
    <n v="2714"/>
    <n v="16.847826090000002"/>
    <n v="0.61"/>
    <n v="0.11"/>
  </r>
  <r>
    <x v="4"/>
    <x v="4"/>
    <x v="1"/>
    <x v="2"/>
    <x v="2"/>
    <n v="844"/>
    <n v="26.37"/>
    <n v="25.08"/>
    <n v="38"/>
    <x v="0"/>
    <n v="8.4337349400000008"/>
    <n v="21167.52"/>
    <n v="1088.76"/>
    <n v="4.502369668"/>
    <n v="0.98"/>
    <n v="0.12"/>
  </r>
  <r>
    <x v="4"/>
    <x v="4"/>
    <x v="1"/>
    <x v="1"/>
    <x v="1"/>
    <n v="442"/>
    <n v="41.73"/>
    <n v="36.450000000000003"/>
    <n v="15"/>
    <x v="0"/>
    <n v="72.289156629999994"/>
    <n v="16110.9"/>
    <n v="2333.7600000000002"/>
    <n v="3.3936651580000001"/>
    <n v="0.98"/>
    <n v="0.23"/>
  </r>
  <r>
    <x v="3"/>
    <x v="3"/>
    <x v="0"/>
    <x v="4"/>
    <x v="0"/>
    <n v="256"/>
    <n v="96.15"/>
    <n v="83.44"/>
    <n v="26"/>
    <x v="0"/>
    <n v="8.9743589739999994"/>
    <n v="21360.639999999999"/>
    <n v="3253.76"/>
    <n v="10.15625"/>
    <n v="0.76"/>
    <n v="0.39"/>
  </r>
  <r>
    <x v="1"/>
    <x v="1"/>
    <x v="1"/>
    <x v="1"/>
    <x v="2"/>
    <n v="1088"/>
    <n v="55.29"/>
    <n v="53.04"/>
    <n v="161"/>
    <x v="1"/>
    <n v="10.52631579"/>
    <n v="57707.519999999997"/>
    <n v="2448"/>
    <n v="14.797794120000001"/>
    <n v="0.39"/>
    <n v="0.09"/>
  </r>
  <r>
    <x v="3"/>
    <x v="3"/>
    <x v="1"/>
    <x v="0"/>
    <x v="1"/>
    <n v="1931"/>
    <n v="72.88"/>
    <n v="64.69"/>
    <n v="187"/>
    <x v="0"/>
    <n v="70.512820509999997"/>
    <n v="124916.39"/>
    <n v="15814.89"/>
    <n v="9.6841015020000007"/>
    <n v="0.76"/>
    <n v="0.05"/>
  </r>
  <r>
    <x v="2"/>
    <x v="2"/>
    <x v="1"/>
    <x v="4"/>
    <x v="1"/>
    <n v="1627"/>
    <n v="25.76"/>
    <n v="25.09"/>
    <n v="74"/>
    <x v="0"/>
    <n v="72.027972030000001"/>
    <n v="40821.43"/>
    <n v="1090.0899999999999"/>
    <n v="4.54824831"/>
    <n v="0.86"/>
    <n v="0.06"/>
  </r>
  <r>
    <x v="3"/>
    <x v="3"/>
    <x v="1"/>
    <x v="2"/>
    <x v="1"/>
    <n v="941"/>
    <n v="28.4"/>
    <n v="27.21"/>
    <n v="105"/>
    <x v="1"/>
    <n v="70.512820509999997"/>
    <n v="25604.61"/>
    <n v="1119.79"/>
    <n v="11.158342190000001"/>
    <n v="0.24"/>
    <n v="0.11"/>
  </r>
  <r>
    <x v="2"/>
    <x v="2"/>
    <x v="0"/>
    <x v="1"/>
    <x v="1"/>
    <n v="1534"/>
    <n v="14.98"/>
    <n v="12.79"/>
    <n v="55"/>
    <x v="0"/>
    <n v="72.027972030000001"/>
    <n v="19619.86"/>
    <n v="3359.46"/>
    <n v="3.5853976529999998"/>
    <n v="0.86"/>
    <n v="7.0000000000000007E-2"/>
  </r>
  <r>
    <x v="0"/>
    <x v="0"/>
    <x v="1"/>
    <x v="3"/>
    <x v="1"/>
    <n v="1764"/>
    <n v="25.46"/>
    <n v="24.52"/>
    <n v="46"/>
    <x v="0"/>
    <n v="75.886524820000005"/>
    <n v="43253.279999999999"/>
    <n v="1658.16"/>
    <n v="2.6077097509999998"/>
    <n v="0.94"/>
    <n v="0.06"/>
  </r>
  <r>
    <x v="1"/>
    <x v="1"/>
    <x v="1"/>
    <x v="4"/>
    <x v="1"/>
    <n v="1648"/>
    <n v="35.42"/>
    <n v="31.46"/>
    <n v="155"/>
    <x v="1"/>
    <n v="70.175438600000007"/>
    <n v="51846.080000000002"/>
    <n v="6526.08"/>
    <n v="9.4053398060000006"/>
    <n v="0.39"/>
    <n v="0.06"/>
  </r>
  <r>
    <x v="2"/>
    <x v="2"/>
    <x v="0"/>
    <x v="2"/>
    <x v="1"/>
    <n v="913"/>
    <n v="28.01"/>
    <n v="24.06"/>
    <n v="53"/>
    <x v="0"/>
    <n v="72.027972030000001"/>
    <n v="21966.78"/>
    <n v="3606.35"/>
    <n v="5.8050383349999999"/>
    <n v="0.86"/>
    <n v="0.11"/>
  </r>
  <r>
    <x v="0"/>
    <x v="0"/>
    <x v="1"/>
    <x v="2"/>
    <x v="0"/>
    <n v="792"/>
    <n v="18.16"/>
    <n v="17.25"/>
    <n v="17"/>
    <x v="0"/>
    <n v="9.2198581560000008"/>
    <n v="13662"/>
    <n v="720.72"/>
    <n v="2.1464646460000001"/>
    <n v="0.94"/>
    <n v="0.13"/>
  </r>
  <r>
    <x v="4"/>
    <x v="4"/>
    <x v="0"/>
    <x v="0"/>
    <x v="2"/>
    <n v="1314"/>
    <n v="22.63"/>
    <n v="21.06"/>
    <n v="44"/>
    <x v="0"/>
    <n v="8.4337349400000008"/>
    <n v="27672.84"/>
    <n v="2062.98"/>
    <n v="3.3485540330000001"/>
    <n v="0.98"/>
    <n v="0.08"/>
  </r>
  <r>
    <x v="3"/>
    <x v="3"/>
    <x v="1"/>
    <x v="1"/>
    <x v="1"/>
    <n v="613"/>
    <n v="52.5"/>
    <n v="45.19"/>
    <n v="70"/>
    <x v="0"/>
    <n v="70.512820509999997"/>
    <n v="27701.47"/>
    <n v="4481.03"/>
    <n v="11.41924959"/>
    <n v="0.76"/>
    <n v="0.16"/>
  </r>
  <r>
    <x v="0"/>
    <x v="0"/>
    <x v="1"/>
    <x v="0"/>
    <x v="1"/>
    <n v="1070"/>
    <n v="29.14"/>
    <n v="26.63"/>
    <n v="24"/>
    <x v="0"/>
    <n v="75.886524820000005"/>
    <n v="28494.1"/>
    <n v="2685.7"/>
    <n v="2.2429906540000002"/>
    <n v="0.94"/>
    <n v="0.09"/>
  </r>
  <r>
    <x v="2"/>
    <x v="2"/>
    <x v="0"/>
    <x v="3"/>
    <x v="2"/>
    <n v="145"/>
    <n v="47.49"/>
    <n v="42.76"/>
    <n v="6"/>
    <x v="0"/>
    <n v="12.58741259"/>
    <n v="6200.2"/>
    <n v="685.85"/>
    <n v="4.1379310340000002"/>
    <n v="0.86"/>
    <n v="0.69"/>
  </r>
  <r>
    <x v="1"/>
    <x v="1"/>
    <x v="0"/>
    <x v="3"/>
    <x v="1"/>
    <n v="1973"/>
    <n v="59.73"/>
    <n v="54.95"/>
    <n v="291"/>
    <x v="0"/>
    <n v="70.175438600000007"/>
    <n v="108416.35"/>
    <n v="9430.94"/>
    <n v="14.74911303"/>
    <n v="0.61"/>
    <n v="0.05"/>
  </r>
  <r>
    <x v="4"/>
    <x v="4"/>
    <x v="0"/>
    <x v="0"/>
    <x v="1"/>
    <n v="1807"/>
    <n v="78.63"/>
    <n v="73.08"/>
    <n v="100"/>
    <x v="0"/>
    <n v="72.289156629999994"/>
    <n v="132055.56"/>
    <n v="10028.85"/>
    <n v="5.5340343110000001"/>
    <n v="0.98"/>
    <n v="0.06"/>
  </r>
  <r>
    <x v="4"/>
    <x v="4"/>
    <x v="1"/>
    <x v="4"/>
    <x v="1"/>
    <n v="534"/>
    <n v="13.88"/>
    <n v="12.51"/>
    <n v="100"/>
    <x v="0"/>
    <n v="72.289156629999994"/>
    <n v="6680.34"/>
    <n v="731.58"/>
    <n v="18.726591760000002"/>
    <n v="0.98"/>
    <n v="0.19"/>
  </r>
  <r>
    <x v="0"/>
    <x v="0"/>
    <x v="1"/>
    <x v="4"/>
    <x v="1"/>
    <n v="1480"/>
    <n v="85.22"/>
    <n v="75.48"/>
    <n v="100"/>
    <x v="0"/>
    <n v="75.886524820000005"/>
    <n v="111710.39999999999"/>
    <n v="14415.2"/>
    <n v="6.7567567569999998"/>
    <n v="0.94"/>
    <n v="7.0000000000000007E-2"/>
  </r>
  <r>
    <x v="0"/>
    <x v="0"/>
    <x v="0"/>
    <x v="0"/>
    <x v="1"/>
    <n v="280"/>
    <n v="72.16"/>
    <n v="62.38"/>
    <n v="100"/>
    <x v="0"/>
    <n v="75.886524820000005"/>
    <n v="17466.400000000001"/>
    <n v="2738.4"/>
    <n v="35.714285709999999"/>
    <n v="0.94"/>
    <n v="0.36"/>
  </r>
  <r>
    <x v="3"/>
    <x v="3"/>
    <x v="0"/>
    <x v="0"/>
    <x v="0"/>
    <n v="798"/>
    <n v="19.09"/>
    <n v="17.760000000000002"/>
    <n v="100"/>
    <x v="0"/>
    <n v="8.9743589739999994"/>
    <n v="14172.48"/>
    <n v="1061.3399999999999"/>
    <n v="12.53132832"/>
    <n v="0.76"/>
    <n v="0.13"/>
  </r>
  <r>
    <x v="4"/>
    <x v="4"/>
    <x v="0"/>
    <x v="4"/>
    <x v="1"/>
    <n v="1728"/>
    <n v="94.83"/>
    <n v="90.2"/>
    <n v="100"/>
    <x v="0"/>
    <n v="72.289156629999994"/>
    <n v="155865.60000000001"/>
    <n v="8000.64"/>
    <n v="5.7870370370000002"/>
    <n v="0.98"/>
    <n v="0.06"/>
  </r>
  <r>
    <x v="4"/>
    <x v="4"/>
    <x v="1"/>
    <x v="1"/>
    <x v="1"/>
    <n v="1244"/>
    <n v="96.13"/>
    <n v="84.78"/>
    <n v="43"/>
    <x v="0"/>
    <n v="72.289156629999994"/>
    <n v="105466.32"/>
    <n v="14119.4"/>
    <n v="3.4565916400000001"/>
    <n v="0.98"/>
    <n v="0.08"/>
  </r>
  <r>
    <x v="3"/>
    <x v="3"/>
    <x v="0"/>
    <x v="0"/>
    <x v="1"/>
    <n v="590"/>
    <n v="16.89"/>
    <n v="15.56"/>
    <n v="46"/>
    <x v="1"/>
    <n v="70.512820509999997"/>
    <n v="9180.4"/>
    <n v="784.7"/>
    <n v="7.796610169"/>
    <n v="0.24"/>
    <n v="0.17"/>
  </r>
  <r>
    <x v="1"/>
    <x v="1"/>
    <x v="0"/>
    <x v="2"/>
    <x v="1"/>
    <n v="1109"/>
    <n v="38.93"/>
    <n v="33.33"/>
    <n v="152"/>
    <x v="0"/>
    <n v="70.175438600000007"/>
    <n v="36962.97"/>
    <n v="6210.4"/>
    <n v="13.70604148"/>
    <n v="0.61"/>
    <n v="0.09"/>
  </r>
  <r>
    <x v="3"/>
    <x v="3"/>
    <x v="1"/>
    <x v="1"/>
    <x v="1"/>
    <n v="574"/>
    <n v="85.03"/>
    <n v="82.55"/>
    <n v="54"/>
    <x v="0"/>
    <n v="70.512820509999997"/>
    <n v="47383.7"/>
    <n v="1423.52"/>
    <n v="9.4076655050000006"/>
    <n v="0.76"/>
    <n v="0.17"/>
  </r>
  <r>
    <x v="2"/>
    <x v="2"/>
    <x v="2"/>
    <x v="0"/>
    <x v="1"/>
    <n v="1233"/>
    <n v="86.62"/>
    <n v="76.59"/>
    <n v="65"/>
    <x v="0"/>
    <n v="72.027972030000001"/>
    <n v="94435.47"/>
    <n v="12366.99"/>
    <n v="5.2716950530000002"/>
    <n v="0.86"/>
    <n v="0.08"/>
  </r>
  <r>
    <x v="2"/>
    <x v="2"/>
    <x v="1"/>
    <x v="2"/>
    <x v="1"/>
    <n v="1912"/>
    <n v="27.94"/>
    <n v="25.59"/>
    <n v="83"/>
    <x v="1"/>
    <n v="72.027972030000001"/>
    <n v="48928.08"/>
    <n v="4493.2"/>
    <n v="4.341004184"/>
    <n v="0.14000000000000001"/>
    <n v="0.05"/>
  </r>
  <r>
    <x v="0"/>
    <x v="0"/>
    <x v="0"/>
    <x v="2"/>
    <x v="1"/>
    <n v="1772"/>
    <n v="30.72"/>
    <n v="27.76"/>
    <n v="46"/>
    <x v="1"/>
    <n v="75.886524820000005"/>
    <n v="49190.720000000001"/>
    <n v="5245.12"/>
    <n v="2.5959367950000001"/>
    <n v="0.06"/>
    <n v="0.06"/>
  </r>
  <r>
    <x v="3"/>
    <x v="3"/>
    <x v="0"/>
    <x v="0"/>
    <x v="1"/>
    <n v="1316"/>
    <n v="48.11"/>
    <n v="41.9"/>
    <n v="135"/>
    <x v="0"/>
    <n v="70.512820509999997"/>
    <n v="55140.4"/>
    <n v="8172.36"/>
    <n v="10.258358660000001"/>
    <n v="0.76"/>
    <n v="0.08"/>
  </r>
  <r>
    <x v="3"/>
    <x v="3"/>
    <x v="0"/>
    <x v="0"/>
    <x v="1"/>
    <n v="1159"/>
    <n v="59.24"/>
    <n v="58.08"/>
    <n v="105"/>
    <x v="0"/>
    <n v="70.512820509999997"/>
    <n v="67314.720000000001"/>
    <n v="1344.44"/>
    <n v="9.0595340810000007"/>
    <n v="0.76"/>
    <n v="0.09"/>
  </r>
  <r>
    <x v="0"/>
    <x v="0"/>
    <x v="0"/>
    <x v="0"/>
    <x v="1"/>
    <n v="1869"/>
    <n v="69.58"/>
    <n v="67.5"/>
    <n v="31"/>
    <x v="0"/>
    <n v="75.886524820000005"/>
    <n v="126157.5"/>
    <n v="3887.52"/>
    <n v="1.658640984"/>
    <n v="0.94"/>
    <n v="0.05"/>
  </r>
  <r>
    <x v="1"/>
    <x v="1"/>
    <x v="0"/>
    <x v="2"/>
    <x v="1"/>
    <n v="627"/>
    <n v="46.23"/>
    <n v="42.87"/>
    <n v="155"/>
    <x v="0"/>
    <n v="70.175438600000007"/>
    <n v="26879.49"/>
    <n v="2106.7199999999998"/>
    <n v="24.720893140000001"/>
    <n v="0.61"/>
    <n v="0.16"/>
  </r>
  <r>
    <x v="3"/>
    <x v="3"/>
    <x v="0"/>
    <x v="3"/>
    <x v="3"/>
    <n v="731"/>
    <n v="56.02"/>
    <n v="54.78"/>
    <n v="70"/>
    <x v="1"/>
    <n v="12.179487180000001"/>
    <n v="40044.18"/>
    <n v="906.44"/>
    <n v="9.5759233930000001"/>
    <n v="0.24"/>
    <n v="0.14000000000000001"/>
  </r>
  <r>
    <x v="4"/>
    <x v="4"/>
    <x v="0"/>
    <x v="0"/>
    <x v="0"/>
    <n v="606"/>
    <n v="83.07"/>
    <n v="79.22"/>
    <n v="16"/>
    <x v="0"/>
    <n v="8.4337349400000008"/>
    <n v="48007.32"/>
    <n v="2333.1"/>
    <n v="2.6402640260000001"/>
    <n v="0.98"/>
    <n v="0.17"/>
  </r>
  <r>
    <x v="3"/>
    <x v="3"/>
    <x v="1"/>
    <x v="0"/>
    <x v="1"/>
    <n v="1647"/>
    <n v="13.57"/>
    <n v="12.33"/>
    <n v="157"/>
    <x v="0"/>
    <n v="70.512820509999997"/>
    <n v="20307.509999999998"/>
    <n v="2042.28"/>
    <n v="9.5324833029999994"/>
    <n v="0.76"/>
    <n v="0.06"/>
  </r>
  <r>
    <x v="1"/>
    <x v="1"/>
    <x v="1"/>
    <x v="1"/>
    <x v="1"/>
    <n v="1062"/>
    <n v="34.03"/>
    <n v="30.46"/>
    <n v="155"/>
    <x v="0"/>
    <n v="70.175438600000007"/>
    <n v="32348.52"/>
    <n v="3791.34"/>
    <n v="14.59510358"/>
    <n v="0.61"/>
    <n v="0.09"/>
  </r>
  <r>
    <x v="3"/>
    <x v="3"/>
    <x v="1"/>
    <x v="0"/>
    <x v="1"/>
    <n v="695"/>
    <n v="76.8"/>
    <n v="69.760000000000005"/>
    <n v="105"/>
    <x v="1"/>
    <n v="70.512820509999997"/>
    <n v="48483.199999999997"/>
    <n v="4892.8"/>
    <n v="15.10791367"/>
    <n v="0.24"/>
    <n v="0.14000000000000001"/>
  </r>
  <r>
    <x v="4"/>
    <x v="4"/>
    <x v="1"/>
    <x v="1"/>
    <x v="1"/>
    <n v="845"/>
    <n v="91.47"/>
    <n v="86.97"/>
    <n v="33"/>
    <x v="0"/>
    <n v="72.289156629999994"/>
    <n v="73489.649999999994"/>
    <n v="3802.5"/>
    <n v="3.9053254439999998"/>
    <n v="0.98"/>
    <n v="0.12"/>
  </r>
  <r>
    <x v="2"/>
    <x v="2"/>
    <x v="1"/>
    <x v="1"/>
    <x v="1"/>
    <n v="1101"/>
    <n v="59.13"/>
    <n v="52.51"/>
    <n v="54"/>
    <x v="0"/>
    <n v="72.027972030000001"/>
    <n v="57813.51"/>
    <n v="7288.62"/>
    <n v="4.9046321529999997"/>
    <n v="0.86"/>
    <n v="0.09"/>
  </r>
  <r>
    <x v="2"/>
    <x v="2"/>
    <x v="1"/>
    <x v="3"/>
    <x v="1"/>
    <n v="1693"/>
    <n v="57.89"/>
    <n v="49.84"/>
    <n v="88"/>
    <x v="0"/>
    <n v="72.027972030000001"/>
    <n v="84379.12"/>
    <n v="13628.65"/>
    <n v="5.1978735970000001"/>
    <n v="0.86"/>
    <n v="0.06"/>
  </r>
  <r>
    <x v="1"/>
    <x v="1"/>
    <x v="0"/>
    <x v="0"/>
    <x v="0"/>
    <n v="1629"/>
    <n v="21.51"/>
    <n v="19.41"/>
    <n v="250"/>
    <x v="1"/>
    <n v="9.3567251460000005"/>
    <n v="31618.89"/>
    <n v="3420.9"/>
    <n v="15.346838549999999"/>
    <n v="0.39"/>
    <n v="0.06"/>
  </r>
  <r>
    <x v="1"/>
    <x v="1"/>
    <x v="0"/>
    <x v="3"/>
    <x v="1"/>
    <n v="1413"/>
    <n v="54.79"/>
    <n v="50.42"/>
    <n v="155"/>
    <x v="0"/>
    <n v="70.175438600000007"/>
    <n v="71243.460000000006"/>
    <n v="6174.81"/>
    <n v="10.96956829"/>
    <n v="0.61"/>
    <n v="7.0000000000000007E-2"/>
  </r>
  <r>
    <x v="4"/>
    <x v="4"/>
    <x v="1"/>
    <x v="2"/>
    <x v="1"/>
    <n v="1871"/>
    <n v="59.96"/>
    <n v="58.54"/>
    <n v="47"/>
    <x v="0"/>
    <n v="72.289156629999994"/>
    <n v="109528.34"/>
    <n v="2656.82"/>
    <n v="2.512025655"/>
    <n v="0.98"/>
    <n v="0.05"/>
  </r>
  <r>
    <x v="2"/>
    <x v="2"/>
    <x v="0"/>
    <x v="3"/>
    <x v="1"/>
    <n v="1404"/>
    <n v="34.85"/>
    <n v="30.5"/>
    <n v="78"/>
    <x v="0"/>
    <n v="72.027972030000001"/>
    <n v="42822"/>
    <n v="6107.4"/>
    <n v="5.5555555559999998"/>
    <n v="0.86"/>
    <n v="7.0000000000000007E-2"/>
  </r>
  <r>
    <x v="2"/>
    <x v="2"/>
    <x v="1"/>
    <x v="4"/>
    <x v="1"/>
    <n v="1713"/>
    <n v="35.43"/>
    <n v="34.11"/>
    <n v="74"/>
    <x v="0"/>
    <n v="72.027972030000001"/>
    <n v="58430.43"/>
    <n v="2261.16"/>
    <n v="4.3199065970000001"/>
    <n v="0.86"/>
    <n v="0.06"/>
  </r>
  <r>
    <x v="2"/>
    <x v="2"/>
    <x v="1"/>
    <x v="4"/>
    <x v="1"/>
    <n v="1579"/>
    <n v="43.96"/>
    <n v="43.41"/>
    <n v="74"/>
    <x v="0"/>
    <n v="72.027972030000001"/>
    <n v="68544.39"/>
    <n v="868.45"/>
    <n v="4.6865104500000001"/>
    <n v="0.86"/>
    <n v="0.06"/>
  </r>
  <r>
    <x v="2"/>
    <x v="2"/>
    <x v="1"/>
    <x v="4"/>
    <x v="1"/>
    <n v="1421"/>
    <n v="11.92"/>
    <n v="11.72"/>
    <n v="76"/>
    <x v="0"/>
    <n v="72.027972030000001"/>
    <n v="16654.12"/>
    <n v="284.2"/>
    <n v="5.3483462350000002"/>
    <n v="0.86"/>
    <n v="7.0000000000000007E-2"/>
  </r>
  <r>
    <x v="4"/>
    <x v="4"/>
    <x v="0"/>
    <x v="1"/>
    <x v="1"/>
    <n v="1546"/>
    <n v="43.47"/>
    <n v="37.369999999999997"/>
    <n v="53"/>
    <x v="0"/>
    <n v="72.289156629999994"/>
    <n v="57774.02"/>
    <n v="9430.6"/>
    <n v="3.4282018110000001"/>
    <n v="0.98"/>
    <n v="0.06"/>
  </r>
  <r>
    <x v="1"/>
    <x v="1"/>
    <x v="0"/>
    <x v="4"/>
    <x v="1"/>
    <n v="1304"/>
    <n v="32.08"/>
    <n v="29.36"/>
    <n v="155"/>
    <x v="0"/>
    <n v="70.175438600000007"/>
    <n v="38285.440000000002"/>
    <n v="3546.88"/>
    <n v="11.88650307"/>
    <n v="0.61"/>
    <n v="0.08"/>
  </r>
  <r>
    <x v="1"/>
    <x v="1"/>
    <x v="1"/>
    <x v="3"/>
    <x v="1"/>
    <n v="239"/>
    <n v="39.869999999999997"/>
    <n v="35.47"/>
    <n v="32"/>
    <x v="0"/>
    <n v="70.175438600000007"/>
    <n v="8477.33"/>
    <n v="1051.5999999999999"/>
    <n v="13.389121340000001"/>
    <n v="0.61"/>
    <n v="0.42"/>
  </r>
  <r>
    <x v="0"/>
    <x v="0"/>
    <x v="1"/>
    <x v="0"/>
    <x v="1"/>
    <n v="1298"/>
    <n v="21.51"/>
    <n v="20.83"/>
    <n v="24"/>
    <x v="0"/>
    <n v="75.886524820000005"/>
    <n v="27037.34"/>
    <n v="882.64"/>
    <n v="1.8489984589999999"/>
    <n v="0.94"/>
    <n v="0.08"/>
  </r>
  <r>
    <x v="1"/>
    <x v="1"/>
    <x v="1"/>
    <x v="1"/>
    <x v="1"/>
    <n v="1458"/>
    <n v="91.05"/>
    <n v="81.56"/>
    <n v="220"/>
    <x v="0"/>
    <n v="70.175438600000007"/>
    <n v="118914.48"/>
    <n v="13836.42"/>
    <n v="15.08916324"/>
    <n v="0.61"/>
    <n v="7.0000000000000007E-2"/>
  </r>
  <r>
    <x v="2"/>
    <x v="2"/>
    <x v="1"/>
    <x v="1"/>
    <x v="1"/>
    <n v="1450"/>
    <n v="63.74"/>
    <n v="59.11"/>
    <n v="71"/>
    <x v="0"/>
    <n v="72.027972030000001"/>
    <n v="85709.5"/>
    <n v="6713.5"/>
    <n v="4.896551724"/>
    <n v="0.86"/>
    <n v="7.0000000000000007E-2"/>
  </r>
  <r>
    <x v="3"/>
    <x v="3"/>
    <x v="1"/>
    <x v="4"/>
    <x v="1"/>
    <n v="1356"/>
    <n v="75.03"/>
    <n v="63.86"/>
    <n v="131"/>
    <x v="0"/>
    <n v="70.512820509999997"/>
    <n v="86594.16"/>
    <n v="15146.52"/>
    <n v="9.6607669620000003"/>
    <n v="0.76"/>
    <n v="7.0000000000000007E-2"/>
  </r>
  <r>
    <x v="2"/>
    <x v="2"/>
    <x v="1"/>
    <x v="2"/>
    <x v="1"/>
    <n v="682"/>
    <n v="81.84"/>
    <n v="71.86"/>
    <n v="40"/>
    <x v="0"/>
    <n v="72.027972030000001"/>
    <n v="49008.52"/>
    <n v="6806.36"/>
    <n v="5.8651026389999998"/>
    <n v="0.86"/>
    <n v="0.15"/>
  </r>
  <r>
    <x v="2"/>
    <x v="2"/>
    <x v="0"/>
    <x v="2"/>
    <x v="1"/>
    <n v="677"/>
    <n v="59.52"/>
    <n v="55.29"/>
    <n v="39"/>
    <x v="0"/>
    <n v="72.027972030000001"/>
    <n v="37431.33"/>
    <n v="2863.71"/>
    <n v="5.7607090100000002"/>
    <n v="0.86"/>
    <n v="0.15"/>
  </r>
  <r>
    <x v="1"/>
    <x v="1"/>
    <x v="1"/>
    <x v="0"/>
    <x v="1"/>
    <n v="1022"/>
    <n v="18.54"/>
    <n v="16.55"/>
    <n v="150"/>
    <x v="0"/>
    <n v="70.175438600000007"/>
    <n v="16914.099999999999"/>
    <n v="2033.78"/>
    <n v="14.67710372"/>
    <n v="0.61"/>
    <n v="0.1"/>
  </r>
  <r>
    <x v="0"/>
    <x v="0"/>
    <x v="1"/>
    <x v="3"/>
    <x v="1"/>
    <n v="1818"/>
    <n v="60.96"/>
    <n v="57.13"/>
    <n v="41"/>
    <x v="0"/>
    <n v="75.886524820000005"/>
    <n v="103862.34"/>
    <n v="6962.94"/>
    <n v="2.255225523"/>
    <n v="0.94"/>
    <n v="0.06"/>
  </r>
  <r>
    <x v="4"/>
    <x v="4"/>
    <x v="0"/>
    <x v="4"/>
    <x v="1"/>
    <n v="1332"/>
    <n v="69.73"/>
    <n v="63.8"/>
    <n v="41"/>
    <x v="0"/>
    <n v="72.289156629999994"/>
    <n v="84981.6"/>
    <n v="7898.76"/>
    <n v="3.0780780779999999"/>
    <n v="0.98"/>
    <n v="0.08"/>
  </r>
  <r>
    <x v="3"/>
    <x v="3"/>
    <x v="0"/>
    <x v="3"/>
    <x v="1"/>
    <n v="1432"/>
    <n v="83.26"/>
    <n v="77.67"/>
    <n v="174"/>
    <x v="0"/>
    <n v="70.512820509999997"/>
    <n v="111223.44"/>
    <n v="8004.88"/>
    <n v="12.150837989999999"/>
    <n v="0.76"/>
    <n v="7.0000000000000007E-2"/>
  </r>
  <r>
    <x v="3"/>
    <x v="3"/>
    <x v="1"/>
    <x v="2"/>
    <x v="3"/>
    <n v="759"/>
    <n v="50.56"/>
    <n v="46.47"/>
    <n v="63"/>
    <x v="1"/>
    <n v="12.179487180000001"/>
    <n v="35270.730000000003"/>
    <n v="3104.31"/>
    <n v="8.3003952569999999"/>
    <n v="0.24"/>
    <n v="0.13"/>
  </r>
  <r>
    <x v="0"/>
    <x v="0"/>
    <x v="0"/>
    <x v="2"/>
    <x v="1"/>
    <n v="1529"/>
    <n v="23.42"/>
    <n v="22.44"/>
    <n v="30"/>
    <x v="0"/>
    <n v="75.886524820000005"/>
    <n v="34310.76"/>
    <n v="1498.42"/>
    <n v="1.96206671"/>
    <n v="0.94"/>
    <n v="7.0000000000000007E-2"/>
  </r>
  <r>
    <x v="2"/>
    <x v="2"/>
    <x v="1"/>
    <x v="4"/>
    <x v="1"/>
    <n v="1484"/>
    <n v="36.25"/>
    <n v="31.8"/>
    <n v="61"/>
    <x v="0"/>
    <n v="72.027972030000001"/>
    <n v="47191.199999999997"/>
    <n v="6603.8"/>
    <n v="4.110512129"/>
    <n v="0.86"/>
    <n v="7.0000000000000007E-2"/>
  </r>
  <r>
    <x v="4"/>
    <x v="4"/>
    <x v="0"/>
    <x v="2"/>
    <x v="1"/>
    <n v="698"/>
    <n v="46.73"/>
    <n v="45.61"/>
    <n v="15"/>
    <x v="0"/>
    <n v="72.289156629999994"/>
    <n v="31835.78"/>
    <n v="781.76"/>
    <n v="2.1489971350000001"/>
    <n v="0.98"/>
    <n v="0.14000000000000001"/>
  </r>
  <r>
    <x v="4"/>
    <x v="4"/>
    <x v="0"/>
    <x v="2"/>
    <x v="3"/>
    <n v="367"/>
    <n v="74.61"/>
    <n v="71.36"/>
    <n v="13"/>
    <x v="0"/>
    <n v="10.843373489999999"/>
    <n v="26189.119999999999"/>
    <n v="1192.75"/>
    <n v="3.542234332"/>
    <n v="0.98"/>
    <n v="0.27"/>
  </r>
  <r>
    <x v="4"/>
    <x v="4"/>
    <x v="0"/>
    <x v="0"/>
    <x v="2"/>
    <n v="1750"/>
    <n v="65.97"/>
    <n v="58.34"/>
    <n v="50"/>
    <x v="0"/>
    <n v="8.4337349400000008"/>
    <n v="102095"/>
    <n v="13352.5"/>
    <n v="2.8571428569999999"/>
    <n v="0.98"/>
    <n v="0.06"/>
  </r>
  <r>
    <x v="1"/>
    <x v="1"/>
    <x v="1"/>
    <x v="0"/>
    <x v="2"/>
    <n v="1298"/>
    <n v="43.73"/>
    <n v="37.21"/>
    <n v="155"/>
    <x v="1"/>
    <n v="10.52631579"/>
    <n v="48298.58"/>
    <n v="8462.9599999999991"/>
    <n v="11.941448380000001"/>
    <n v="0.39"/>
    <n v="0.08"/>
  </r>
  <r>
    <x v="2"/>
    <x v="2"/>
    <x v="0"/>
    <x v="2"/>
    <x v="1"/>
    <n v="1892"/>
    <n v="106.2"/>
    <n v="96.37"/>
    <n v="93"/>
    <x v="0"/>
    <n v="72.027972030000001"/>
    <n v="182332.04"/>
    <n v="18598.36"/>
    <n v="4.9154334039999998"/>
    <n v="0.86"/>
    <n v="0.05"/>
  </r>
  <r>
    <x v="3"/>
    <x v="3"/>
    <x v="0"/>
    <x v="4"/>
    <x v="1"/>
    <n v="1307"/>
    <n v="68.709999999999994"/>
    <n v="60.64"/>
    <n v="141"/>
    <x v="0"/>
    <n v="70.512820509999997"/>
    <n v="79256.479999999996"/>
    <n v="10547.49"/>
    <n v="10.78806427"/>
    <n v="0.76"/>
    <n v="0.08"/>
  </r>
  <r>
    <x v="3"/>
    <x v="3"/>
    <x v="1"/>
    <x v="4"/>
    <x v="1"/>
    <n v="733"/>
    <n v="32.29"/>
    <n v="29.01"/>
    <n v="78"/>
    <x v="0"/>
    <n v="70.512820509999997"/>
    <n v="21264.33"/>
    <n v="2404.2399999999998"/>
    <n v="10.641200550000001"/>
    <n v="0.76"/>
    <n v="0.14000000000000001"/>
  </r>
  <r>
    <x v="2"/>
    <x v="2"/>
    <x v="1"/>
    <x v="2"/>
    <x v="1"/>
    <n v="713"/>
    <n v="19.45"/>
    <n v="18.82"/>
    <n v="31"/>
    <x v="0"/>
    <n v="72.027972030000001"/>
    <n v="13418.66"/>
    <n v="449.19"/>
    <n v="4.3478260869999996"/>
    <n v="0.86"/>
    <n v="0.14000000000000001"/>
  </r>
  <r>
    <x v="3"/>
    <x v="3"/>
    <x v="1"/>
    <x v="2"/>
    <x v="1"/>
    <n v="1900"/>
    <n v="24.11"/>
    <n v="23.45"/>
    <n v="188"/>
    <x v="0"/>
    <n v="70.512820509999997"/>
    <n v="44555"/>
    <n v="1254"/>
    <n v="9.8947368420000004"/>
    <n v="0.76"/>
    <n v="0.05"/>
  </r>
  <r>
    <x v="1"/>
    <x v="1"/>
    <x v="0"/>
    <x v="1"/>
    <x v="0"/>
    <n v="1447"/>
    <n v="35.67"/>
    <n v="35.07"/>
    <n v="224"/>
    <x v="1"/>
    <n v="9.3567251460000005"/>
    <n v="50746.29"/>
    <n v="868.2"/>
    <n v="15.48030408"/>
    <n v="0.39"/>
    <n v="7.0000000000000007E-2"/>
  </r>
  <r>
    <x v="4"/>
    <x v="4"/>
    <x v="0"/>
    <x v="0"/>
    <x v="1"/>
    <n v="1745"/>
    <n v="26.17"/>
    <n v="22.25"/>
    <n v="55"/>
    <x v="0"/>
    <n v="72.289156629999994"/>
    <n v="38826.25"/>
    <n v="6840.4"/>
    <n v="3.1518624640000001"/>
    <n v="0.98"/>
    <n v="0.06"/>
  </r>
  <r>
    <x v="3"/>
    <x v="3"/>
    <x v="1"/>
    <x v="0"/>
    <x v="1"/>
    <n v="1681"/>
    <n v="28.26"/>
    <n v="26.62"/>
    <n v="143"/>
    <x v="0"/>
    <n v="70.512820509999997"/>
    <n v="44748.22"/>
    <n v="2756.84"/>
    <n v="8.5068411659999992"/>
    <n v="0.76"/>
    <n v="0.06"/>
  </r>
  <r>
    <x v="1"/>
    <x v="1"/>
    <x v="0"/>
    <x v="4"/>
    <x v="1"/>
    <n v="1545"/>
    <n v="38.15"/>
    <n v="36.96"/>
    <n v="214"/>
    <x v="0"/>
    <n v="70.175438600000007"/>
    <n v="57103.199999999997"/>
    <n v="1838.55"/>
    <n v="13.85113269"/>
    <n v="0.61"/>
    <n v="0.06"/>
  </r>
  <r>
    <x v="4"/>
    <x v="4"/>
    <x v="0"/>
    <x v="3"/>
    <x v="1"/>
    <n v="1306"/>
    <n v="27.27"/>
    <n v="25.96"/>
    <n v="39"/>
    <x v="0"/>
    <n v="72.289156629999994"/>
    <n v="33903.760000000002"/>
    <n v="1710.86"/>
    <n v="2.986217458"/>
    <n v="0.98"/>
    <n v="0.08"/>
  </r>
  <r>
    <x v="2"/>
    <x v="2"/>
    <x v="0"/>
    <x v="3"/>
    <x v="1"/>
    <n v="1765"/>
    <n v="97.51"/>
    <n v="84.3"/>
    <n v="65"/>
    <x v="0"/>
    <n v="72.027972030000001"/>
    <n v="148789.5"/>
    <n v="23315.65"/>
    <n v="3.682719547"/>
    <n v="0.86"/>
    <n v="0.06"/>
  </r>
  <r>
    <x v="2"/>
    <x v="2"/>
    <x v="1"/>
    <x v="2"/>
    <x v="0"/>
    <n v="1186"/>
    <n v="17.309999999999999"/>
    <n v="16"/>
    <n v="64"/>
    <x v="0"/>
    <n v="4.1958041960000001"/>
    <n v="18976"/>
    <n v="1553.66"/>
    <n v="5.3962900510000003"/>
    <n v="0.86"/>
    <n v="0.08"/>
  </r>
  <r>
    <x v="1"/>
    <x v="1"/>
    <x v="0"/>
    <x v="2"/>
    <x v="1"/>
    <n v="1903"/>
    <n v="63.5"/>
    <n v="56.09"/>
    <n v="254"/>
    <x v="0"/>
    <n v="70.175438600000007"/>
    <n v="106739.27"/>
    <n v="14101.23"/>
    <n v="13.3473463"/>
    <n v="0.61"/>
    <n v="0.05"/>
  </r>
  <r>
    <x v="1"/>
    <x v="1"/>
    <x v="0"/>
    <x v="1"/>
    <x v="1"/>
    <n v="1570"/>
    <n v="52.1"/>
    <n v="47.87"/>
    <n v="155"/>
    <x v="1"/>
    <n v="70.175438600000007"/>
    <n v="75155.899999999994"/>
    <n v="6641.1"/>
    <n v="9.8726114650000003"/>
    <n v="0.39"/>
    <n v="0.06"/>
  </r>
  <r>
    <x v="1"/>
    <x v="1"/>
    <x v="0"/>
    <x v="1"/>
    <x v="1"/>
    <n v="491"/>
    <n v="108.75"/>
    <n v="93.35"/>
    <n v="155"/>
    <x v="1"/>
    <n v="70.175438600000007"/>
    <n v="45834.85"/>
    <n v="7561.4"/>
    <n v="31.56822811"/>
    <n v="0.39"/>
    <n v="0.2"/>
  </r>
  <r>
    <x v="3"/>
    <x v="3"/>
    <x v="1"/>
    <x v="4"/>
    <x v="2"/>
    <n v="613"/>
    <n v="20.38"/>
    <n v="20.170000000000002"/>
    <n v="58"/>
    <x v="0"/>
    <n v="8.3333333330000006"/>
    <n v="12364.21"/>
    <n v="128.72999999999999"/>
    <n v="9.461663948"/>
    <n v="0.76"/>
    <n v="0.16"/>
  </r>
  <r>
    <x v="2"/>
    <x v="2"/>
    <x v="1"/>
    <x v="3"/>
    <x v="2"/>
    <n v="1341"/>
    <n v="46.27"/>
    <n v="43.94"/>
    <n v="63"/>
    <x v="0"/>
    <n v="12.58741259"/>
    <n v="58923.54"/>
    <n v="3124.53"/>
    <n v="4.697986577"/>
    <n v="0.86"/>
    <n v="7.0000000000000007E-2"/>
  </r>
  <r>
    <x v="3"/>
    <x v="3"/>
    <x v="0"/>
    <x v="1"/>
    <x v="2"/>
    <n v="1583"/>
    <n v="103.57"/>
    <n v="89.38"/>
    <n v="164"/>
    <x v="0"/>
    <n v="8.3333333330000006"/>
    <n v="141488.54"/>
    <n v="22462.77"/>
    <n v="10.36007581"/>
    <n v="0.76"/>
    <n v="0.06"/>
  </r>
  <r>
    <x v="3"/>
    <x v="3"/>
    <x v="1"/>
    <x v="3"/>
    <x v="0"/>
    <n v="1880"/>
    <n v="92.73"/>
    <n v="90.78"/>
    <n v="173"/>
    <x v="0"/>
    <n v="8.9743589739999994"/>
    <n v="170666.4"/>
    <n v="3666"/>
    <n v="9.2021276600000004"/>
    <n v="0.76"/>
    <n v="0.05"/>
  </r>
  <r>
    <x v="4"/>
    <x v="4"/>
    <x v="1"/>
    <x v="1"/>
    <x v="1"/>
    <n v="1459"/>
    <n v="84.79"/>
    <n v="82.72"/>
    <n v="47"/>
    <x v="0"/>
    <n v="72.289156629999994"/>
    <n v="120688.48"/>
    <n v="3020.13"/>
    <n v="3.22138451"/>
    <n v="0.98"/>
    <n v="7.0000000000000007E-2"/>
  </r>
  <r>
    <x v="1"/>
    <x v="1"/>
    <x v="1"/>
    <x v="0"/>
    <x v="1"/>
    <n v="1460"/>
    <n v="34.54"/>
    <n v="31.87"/>
    <n v="208"/>
    <x v="1"/>
    <n v="70.175438600000007"/>
    <n v="46530.2"/>
    <n v="3898.2"/>
    <n v="14.24657534"/>
    <n v="0.39"/>
    <n v="7.0000000000000007E-2"/>
  </r>
  <r>
    <x v="3"/>
    <x v="3"/>
    <x v="1"/>
    <x v="2"/>
    <x v="2"/>
    <n v="1186"/>
    <n v="26.14"/>
    <n v="24.78"/>
    <n v="112"/>
    <x v="0"/>
    <n v="8.3333333330000006"/>
    <n v="29389.08"/>
    <n v="1612.96"/>
    <n v="9.4435075889999993"/>
    <n v="0.76"/>
    <n v="0.08"/>
  </r>
  <r>
    <x v="4"/>
    <x v="4"/>
    <x v="1"/>
    <x v="1"/>
    <x v="3"/>
    <n v="1686"/>
    <n v="72.28"/>
    <n v="65.209999999999994"/>
    <n v="53"/>
    <x v="0"/>
    <n v="10.843373489999999"/>
    <n v="109944.06"/>
    <n v="11920.02"/>
    <n v="3.1435349939999999"/>
    <n v="0.98"/>
    <n v="0.06"/>
  </r>
  <r>
    <x v="0"/>
    <x v="0"/>
    <x v="0"/>
    <x v="1"/>
    <x v="1"/>
    <n v="1698"/>
    <n v="102.07"/>
    <n v="100.69"/>
    <n v="28"/>
    <x v="0"/>
    <n v="75.886524820000005"/>
    <n v="170971.62"/>
    <n v="2343.2399999999998"/>
    <n v="1.648998822"/>
    <n v="0.94"/>
    <n v="0.06"/>
  </r>
  <r>
    <x v="4"/>
    <x v="4"/>
    <x v="0"/>
    <x v="4"/>
    <x v="1"/>
    <n v="1001"/>
    <n v="64.62"/>
    <n v="55.7"/>
    <n v="32"/>
    <x v="0"/>
    <n v="72.289156629999994"/>
    <n v="55755.7"/>
    <n v="8928.92"/>
    <n v="3.1968031969999999"/>
    <n v="0.98"/>
    <n v="0.1"/>
  </r>
  <r>
    <x v="0"/>
    <x v="0"/>
    <x v="1"/>
    <x v="0"/>
    <x v="1"/>
    <n v="1154"/>
    <n v="62.67"/>
    <n v="54.11"/>
    <n v="25"/>
    <x v="0"/>
    <n v="75.886524820000005"/>
    <n v="62442.94"/>
    <n v="9878.24"/>
    <n v="2.1663778159999998"/>
    <n v="0.94"/>
    <n v="0.09"/>
  </r>
  <r>
    <x v="0"/>
    <x v="0"/>
    <x v="0"/>
    <x v="2"/>
    <x v="0"/>
    <n v="748"/>
    <n v="37.659999999999997"/>
    <n v="32.71"/>
    <n v="24"/>
    <x v="1"/>
    <n v="9.2198581560000008"/>
    <n v="24467.08"/>
    <n v="3702.6"/>
    <n v="3.2085561500000002"/>
    <n v="0.06"/>
    <n v="0.13"/>
  </r>
  <r>
    <x v="0"/>
    <x v="0"/>
    <x v="1"/>
    <x v="0"/>
    <x v="1"/>
    <n v="162"/>
    <n v="81.63"/>
    <n v="78.760000000000005"/>
    <n v="2"/>
    <x v="0"/>
    <n v="75.886524820000005"/>
    <n v="12759.12"/>
    <n v="464.94"/>
    <n v="1.2345679009999999"/>
    <n v="0.94"/>
    <n v="0.62"/>
  </r>
  <r>
    <x v="0"/>
    <x v="0"/>
    <x v="1"/>
    <x v="2"/>
    <x v="1"/>
    <n v="51"/>
    <n v="28.04"/>
    <n v="24.13"/>
    <n v="0"/>
    <x v="0"/>
    <n v="75.886524820000005"/>
    <n v="1230.6300000000001"/>
    <n v="199.41"/>
    <n v="0"/>
    <n v="0.94"/>
    <n v="1.96"/>
  </r>
  <r>
    <x v="1"/>
    <x v="1"/>
    <x v="0"/>
    <x v="0"/>
    <x v="1"/>
    <n v="691"/>
    <n v="42.07"/>
    <n v="39.1"/>
    <n v="106"/>
    <x v="0"/>
    <n v="70.175438600000007"/>
    <n v="27018.1"/>
    <n v="2052.27"/>
    <n v="15.340086830000001"/>
    <n v="0.61"/>
    <n v="0.14000000000000001"/>
  </r>
  <r>
    <x v="3"/>
    <x v="3"/>
    <x v="1"/>
    <x v="0"/>
    <x v="1"/>
    <n v="269"/>
    <n v="50.22"/>
    <n v="45.75"/>
    <n v="32"/>
    <x v="1"/>
    <n v="70.512820509999997"/>
    <n v="12306.75"/>
    <n v="1202.43"/>
    <n v="11.895910779999999"/>
    <n v="0.24"/>
    <n v="0.37"/>
  </r>
  <r>
    <x v="3"/>
    <x v="3"/>
    <x v="1"/>
    <x v="4"/>
    <x v="3"/>
    <n v="1639"/>
    <n v="56.24"/>
    <n v="55.4"/>
    <n v="147"/>
    <x v="0"/>
    <n v="12.179487180000001"/>
    <n v="90800.6"/>
    <n v="1376.76"/>
    <n v="8.9688834659999994"/>
    <n v="0.76"/>
    <n v="0.06"/>
  </r>
  <r>
    <x v="0"/>
    <x v="0"/>
    <x v="0"/>
    <x v="3"/>
    <x v="1"/>
    <n v="904"/>
    <n v="34.04"/>
    <n v="30.06"/>
    <n v="26"/>
    <x v="0"/>
    <n v="75.886524820000005"/>
    <n v="27174.240000000002"/>
    <n v="3597.92"/>
    <n v="2.8761061950000002"/>
    <n v="0.94"/>
    <n v="0.11"/>
  </r>
  <r>
    <x v="3"/>
    <x v="3"/>
    <x v="0"/>
    <x v="0"/>
    <x v="1"/>
    <n v="1809"/>
    <n v="22.17"/>
    <n v="19.649999999999999"/>
    <n v="105"/>
    <x v="0"/>
    <n v="70.512820509999997"/>
    <n v="35546.85"/>
    <n v="4558.68"/>
    <n v="5.8043117740000003"/>
    <n v="0.76"/>
    <n v="0.06"/>
  </r>
  <r>
    <x v="0"/>
    <x v="0"/>
    <x v="1"/>
    <x v="2"/>
    <x v="1"/>
    <n v="1298"/>
    <n v="65.930000000000007"/>
    <n v="58.95"/>
    <n v="24"/>
    <x v="0"/>
    <n v="75.886524820000005"/>
    <n v="76517.100000000006"/>
    <n v="9060.0400000000009"/>
    <n v="1.8489984589999999"/>
    <n v="0.94"/>
    <n v="0.08"/>
  </r>
  <r>
    <x v="3"/>
    <x v="3"/>
    <x v="1"/>
    <x v="2"/>
    <x v="1"/>
    <n v="434"/>
    <n v="36.159999999999997"/>
    <n v="34.79"/>
    <n v="41"/>
    <x v="0"/>
    <n v="70.512820509999997"/>
    <n v="15098.86"/>
    <n v="594.58000000000004"/>
    <n v="9.4470046080000003"/>
    <n v="0.76"/>
    <n v="0.23"/>
  </r>
  <r>
    <x v="4"/>
    <x v="4"/>
    <x v="0"/>
    <x v="4"/>
    <x v="1"/>
    <n v="1476"/>
    <n v="68.849999999999994"/>
    <n v="65.28"/>
    <n v="43"/>
    <x v="0"/>
    <n v="72.289156629999994"/>
    <n v="96353.279999999999"/>
    <n v="5269.32"/>
    <n v="2.9132791330000001"/>
    <n v="0.98"/>
    <n v="7.0000000000000007E-2"/>
  </r>
  <r>
    <x v="1"/>
    <x v="1"/>
    <x v="0"/>
    <x v="3"/>
    <x v="2"/>
    <n v="1711"/>
    <n v="26.04"/>
    <n v="24.81"/>
    <n v="290"/>
    <x v="0"/>
    <n v="10.52631579"/>
    <n v="42449.91"/>
    <n v="2104.5300000000002"/>
    <n v="16.94915254"/>
    <n v="0.61"/>
    <n v="0.06"/>
  </r>
  <r>
    <x v="2"/>
    <x v="2"/>
    <x v="1"/>
    <x v="2"/>
    <x v="1"/>
    <n v="1203"/>
    <n v="53.3"/>
    <n v="47.68"/>
    <n v="49"/>
    <x v="0"/>
    <n v="72.027972030000001"/>
    <n v="57359.040000000001"/>
    <n v="6760.86"/>
    <n v="4.0731504569999997"/>
    <n v="0.86"/>
    <n v="0.08"/>
  </r>
  <r>
    <x v="0"/>
    <x v="0"/>
    <x v="1"/>
    <x v="4"/>
    <x v="1"/>
    <n v="1126"/>
    <n v="58.8"/>
    <n v="52.22"/>
    <n v="24"/>
    <x v="0"/>
    <n v="75.886524820000005"/>
    <n v="58799.72"/>
    <n v="7409.08"/>
    <n v="2.1314387209999999"/>
    <n v="0.94"/>
    <n v="0.09"/>
  </r>
  <r>
    <x v="4"/>
    <x v="4"/>
    <x v="1"/>
    <x v="2"/>
    <x v="1"/>
    <n v="1757"/>
    <n v="15.18"/>
    <n v="13.06"/>
    <n v="63"/>
    <x v="0"/>
    <n v="72.289156629999994"/>
    <n v="22946.42"/>
    <n v="3724.84"/>
    <n v="3.5856573709999999"/>
    <n v="0.98"/>
    <n v="0.06"/>
  </r>
  <r>
    <x v="4"/>
    <x v="4"/>
    <x v="1"/>
    <x v="1"/>
    <x v="1"/>
    <n v="779"/>
    <n v="41.3"/>
    <n v="36.28"/>
    <n v="20"/>
    <x v="0"/>
    <n v="72.289156629999994"/>
    <n v="28262.12"/>
    <n v="3910.58"/>
    <n v="2.567394095"/>
    <n v="0.98"/>
    <n v="0.13"/>
  </r>
  <r>
    <x v="1"/>
    <x v="1"/>
    <x v="0"/>
    <x v="0"/>
    <x v="1"/>
    <n v="1745"/>
    <n v="23.53"/>
    <n v="22.57"/>
    <n v="282"/>
    <x v="1"/>
    <n v="70.175438600000007"/>
    <n v="39384.65"/>
    <n v="1675.2"/>
    <n v="16.16045845"/>
    <n v="0.39"/>
    <n v="0.06"/>
  </r>
  <r>
    <x v="1"/>
    <x v="1"/>
    <x v="0"/>
    <x v="3"/>
    <x v="1"/>
    <n v="1783"/>
    <n v="16.96"/>
    <n v="15.8"/>
    <n v="295"/>
    <x v="0"/>
    <n v="70.175438600000007"/>
    <n v="28171.4"/>
    <n v="2068.2800000000002"/>
    <n v="16.54514863"/>
    <n v="0.61"/>
    <n v="0.06"/>
  </r>
  <r>
    <x v="0"/>
    <x v="0"/>
    <x v="0"/>
    <x v="0"/>
    <x v="2"/>
    <n v="1489"/>
    <n v="107.02"/>
    <n v="93.3"/>
    <n v="24"/>
    <x v="0"/>
    <n v="7.092198582"/>
    <n v="138923.70000000001"/>
    <n v="20429.080000000002"/>
    <n v="1.611820013"/>
    <n v="0.94"/>
    <n v="7.0000000000000007E-2"/>
  </r>
  <r>
    <x v="0"/>
    <x v="0"/>
    <x v="1"/>
    <x v="0"/>
    <x v="1"/>
    <n v="296"/>
    <n v="40.380000000000003"/>
    <n v="35.25"/>
    <n v="24"/>
    <x v="0"/>
    <n v="75.886524820000005"/>
    <n v="10434"/>
    <n v="1518.48"/>
    <n v="8.1081081079999997"/>
    <n v="0.94"/>
    <n v="0.34"/>
  </r>
  <r>
    <x v="4"/>
    <x v="4"/>
    <x v="0"/>
    <x v="1"/>
    <x v="1"/>
    <n v="885"/>
    <n v="88.28"/>
    <n v="80.8"/>
    <n v="31"/>
    <x v="0"/>
    <n v="72.289156629999994"/>
    <n v="71508"/>
    <n v="6619.8"/>
    <n v="3.502824859"/>
    <n v="0.98"/>
    <n v="0.11"/>
  </r>
  <r>
    <x v="4"/>
    <x v="4"/>
    <x v="1"/>
    <x v="3"/>
    <x v="3"/>
    <n v="1512"/>
    <n v="33.25"/>
    <n v="30.15"/>
    <n v="53"/>
    <x v="0"/>
    <n v="10.843373489999999"/>
    <n v="45586.8"/>
    <n v="4687.2"/>
    <n v="3.5052910050000001"/>
    <n v="0.98"/>
    <n v="7.0000000000000007E-2"/>
  </r>
  <r>
    <x v="1"/>
    <x v="1"/>
    <x v="1"/>
    <x v="0"/>
    <x v="1"/>
    <n v="252"/>
    <n v="73.12"/>
    <n v="67.64"/>
    <n v="155"/>
    <x v="1"/>
    <n v="70.175438600000007"/>
    <n v="17045.28"/>
    <n v="1380.96"/>
    <n v="61.50793651"/>
    <n v="0.39"/>
    <n v="0.4"/>
  </r>
  <r>
    <x v="0"/>
    <x v="0"/>
    <x v="0"/>
    <x v="4"/>
    <x v="0"/>
    <n v="1257"/>
    <n v="83.13"/>
    <n v="81.89"/>
    <n v="30"/>
    <x v="0"/>
    <n v="9.2198581560000008"/>
    <n v="102935.73"/>
    <n v="1558.68"/>
    <n v="2.3866348450000001"/>
    <n v="0.94"/>
    <n v="0.08"/>
  </r>
  <r>
    <x v="0"/>
    <x v="0"/>
    <x v="1"/>
    <x v="2"/>
    <x v="1"/>
    <n v="172"/>
    <n v="63.61"/>
    <n v="55.92"/>
    <n v="4"/>
    <x v="0"/>
    <n v="75.886524820000005"/>
    <n v="9618.24"/>
    <n v="1322.68"/>
    <n v="2.3255813949999999"/>
    <n v="0.94"/>
    <n v="0.57999999999999996"/>
  </r>
  <r>
    <x v="4"/>
    <x v="4"/>
    <x v="0"/>
    <x v="2"/>
    <x v="3"/>
    <n v="450"/>
    <n v="55.85"/>
    <n v="49.88"/>
    <n v="9"/>
    <x v="0"/>
    <n v="10.843373489999999"/>
    <n v="22446"/>
    <n v="2686.5"/>
    <n v="2"/>
    <n v="0.98"/>
    <n v="0.22"/>
  </r>
  <r>
    <x v="2"/>
    <x v="2"/>
    <x v="1"/>
    <x v="4"/>
    <x v="1"/>
    <n v="816"/>
    <n v="48.95"/>
    <n v="43.42"/>
    <n v="45"/>
    <x v="0"/>
    <n v="72.027972030000001"/>
    <n v="35430.720000000001"/>
    <n v="4512.4799999999996"/>
    <n v="5.5147058820000003"/>
    <n v="0.86"/>
    <n v="0.12"/>
  </r>
  <r>
    <x v="4"/>
    <x v="4"/>
    <x v="0"/>
    <x v="2"/>
    <x v="1"/>
    <n v="343"/>
    <n v="44.5"/>
    <n v="38.57"/>
    <n v="7"/>
    <x v="0"/>
    <n v="72.289156629999994"/>
    <n v="13229.51"/>
    <n v="2033.99"/>
    <n v="2.0408163269999999"/>
    <n v="0.98"/>
    <n v="0.28999999999999998"/>
  </r>
  <r>
    <x v="2"/>
    <x v="2"/>
    <x v="1"/>
    <x v="1"/>
    <x v="1"/>
    <n v="329"/>
    <n v="97.87"/>
    <n v="85.35"/>
    <n v="21"/>
    <x v="1"/>
    <n v="72.027972030000001"/>
    <n v="28080.15"/>
    <n v="4119.08"/>
    <n v="6.3829787229999999"/>
    <n v="0.14000000000000001"/>
    <n v="0.3"/>
  </r>
  <r>
    <x v="0"/>
    <x v="0"/>
    <x v="0"/>
    <x v="4"/>
    <x v="1"/>
    <n v="1910"/>
    <n v="90.69"/>
    <n v="85.8"/>
    <n v="24"/>
    <x v="0"/>
    <n v="75.886524820000005"/>
    <n v="163878"/>
    <n v="9339.9"/>
    <n v="1.256544503"/>
    <n v="0.94"/>
    <n v="0.05"/>
  </r>
  <r>
    <x v="4"/>
    <x v="4"/>
    <x v="0"/>
    <x v="1"/>
    <x v="1"/>
    <n v="933"/>
    <n v="107.99"/>
    <n v="104.29"/>
    <n v="29"/>
    <x v="0"/>
    <n v="72.289156629999994"/>
    <n v="97302.57"/>
    <n v="3452.1"/>
    <n v="3.108252947"/>
    <n v="0.98"/>
    <n v="0.11"/>
  </r>
  <r>
    <x v="1"/>
    <x v="1"/>
    <x v="0"/>
    <x v="3"/>
    <x v="1"/>
    <n v="1683"/>
    <n v="23.09"/>
    <n v="21.88"/>
    <n v="253"/>
    <x v="0"/>
    <n v="70.175438600000007"/>
    <n v="36824.04"/>
    <n v="2036.43"/>
    <n v="15.032679740000001"/>
    <n v="0.61"/>
    <n v="0.06"/>
  </r>
  <r>
    <x v="3"/>
    <x v="3"/>
    <x v="0"/>
    <x v="2"/>
    <x v="3"/>
    <n v="247"/>
    <n v="84.11"/>
    <n v="71.97"/>
    <n v="105"/>
    <x v="0"/>
    <n v="12.179487180000001"/>
    <n v="17776.59"/>
    <n v="2998.58"/>
    <n v="42.510121460000001"/>
    <n v="0.76"/>
    <n v="0.4"/>
  </r>
  <r>
    <x v="0"/>
    <x v="0"/>
    <x v="0"/>
    <x v="1"/>
    <x v="1"/>
    <n v="1031"/>
    <n v="102.01"/>
    <n v="98.65"/>
    <n v="24"/>
    <x v="0"/>
    <n v="75.886524820000005"/>
    <n v="101708.15"/>
    <n v="3464.16"/>
    <n v="2.3278370509999999"/>
    <n v="0.94"/>
    <n v="0.1"/>
  </r>
  <r>
    <x v="0"/>
    <x v="0"/>
    <x v="1"/>
    <x v="2"/>
    <x v="1"/>
    <n v="1980"/>
    <n v="26.97"/>
    <n v="24.16"/>
    <n v="41"/>
    <x v="0"/>
    <n v="75.886524820000005"/>
    <n v="47836.800000000003"/>
    <n v="5563.8"/>
    <n v="2.0707070710000002"/>
    <n v="0.94"/>
    <n v="0.05"/>
  </r>
  <r>
    <x v="4"/>
    <x v="4"/>
    <x v="1"/>
    <x v="3"/>
    <x v="1"/>
    <n v="1584"/>
    <n v="16.46"/>
    <n v="14.2"/>
    <n v="57"/>
    <x v="0"/>
    <n v="72.289156629999994"/>
    <n v="22492.799999999999"/>
    <n v="3579.84"/>
    <n v="3.598484848"/>
    <n v="0.98"/>
    <n v="0.06"/>
  </r>
  <r>
    <x v="3"/>
    <x v="3"/>
    <x v="1"/>
    <x v="0"/>
    <x v="1"/>
    <n v="801"/>
    <n v="80.150000000000006"/>
    <n v="70.91"/>
    <n v="105"/>
    <x v="0"/>
    <n v="70.512820509999997"/>
    <n v="56798.91"/>
    <n v="7401.24"/>
    <n v="13.108614230000001"/>
    <n v="0.76"/>
    <n v="0.12"/>
  </r>
  <r>
    <x v="3"/>
    <x v="3"/>
    <x v="1"/>
    <x v="2"/>
    <x v="1"/>
    <n v="193"/>
    <n v="63.86"/>
    <n v="57.46"/>
    <n v="105"/>
    <x v="0"/>
    <n v="70.512820509999997"/>
    <n v="11089.78"/>
    <n v="1235.2"/>
    <n v="54.404145079999999"/>
    <n v="0.76"/>
    <n v="0.52"/>
  </r>
  <r>
    <x v="3"/>
    <x v="3"/>
    <x v="1"/>
    <x v="3"/>
    <x v="1"/>
    <n v="658"/>
    <n v="86.62"/>
    <n v="79.849999999999994"/>
    <n v="72"/>
    <x v="0"/>
    <n v="70.512820509999997"/>
    <n v="52541.3"/>
    <n v="4454.66"/>
    <n v="10.942249240000001"/>
    <n v="0.76"/>
    <n v="0.15"/>
  </r>
  <r>
    <x v="4"/>
    <x v="4"/>
    <x v="0"/>
    <x v="4"/>
    <x v="1"/>
    <n v="1274"/>
    <n v="24.72"/>
    <n v="23.36"/>
    <n v="37"/>
    <x v="0"/>
    <n v="72.289156629999994"/>
    <n v="29760.639999999999"/>
    <n v="1732.64"/>
    <n v="2.904238619"/>
    <n v="0.98"/>
    <n v="0.08"/>
  </r>
  <r>
    <x v="4"/>
    <x v="4"/>
    <x v="0"/>
    <x v="2"/>
    <x v="2"/>
    <n v="1197"/>
    <n v="88.92"/>
    <n v="78.819999999999993"/>
    <n v="31"/>
    <x v="0"/>
    <n v="8.4337349400000008"/>
    <n v="94347.54"/>
    <n v="12089.7"/>
    <n v="2.5898078529999999"/>
    <n v="0.98"/>
    <n v="0.08"/>
  </r>
  <r>
    <x v="2"/>
    <x v="2"/>
    <x v="1"/>
    <x v="4"/>
    <x v="1"/>
    <n v="236"/>
    <n v="28.43"/>
    <n v="28.11"/>
    <n v="11"/>
    <x v="0"/>
    <n v="72.027972030000001"/>
    <n v="6633.96"/>
    <n v="75.52"/>
    <n v="4.6610169490000004"/>
    <n v="0.86"/>
    <n v="0.42"/>
  </r>
  <r>
    <x v="2"/>
    <x v="2"/>
    <x v="1"/>
    <x v="3"/>
    <x v="2"/>
    <n v="1399"/>
    <n v="25.97"/>
    <n v="22.19"/>
    <n v="62"/>
    <x v="0"/>
    <n v="12.58741259"/>
    <n v="31043.81"/>
    <n v="5288.22"/>
    <n v="4.4317369549999999"/>
    <n v="0.86"/>
    <n v="7.0000000000000007E-2"/>
  </r>
  <r>
    <x v="2"/>
    <x v="2"/>
    <x v="1"/>
    <x v="4"/>
    <x v="1"/>
    <n v="513"/>
    <n v="24.91"/>
    <n v="22.58"/>
    <n v="29"/>
    <x v="0"/>
    <n v="72.027972030000001"/>
    <n v="11583.54"/>
    <n v="1195.29"/>
    <n v="5.653021442"/>
    <n v="0.86"/>
    <n v="0.19"/>
  </r>
  <r>
    <x v="1"/>
    <x v="1"/>
    <x v="1"/>
    <x v="1"/>
    <x v="1"/>
    <n v="1422"/>
    <n v="83.73"/>
    <n v="76.47"/>
    <n v="198"/>
    <x v="0"/>
    <n v="70.175438600000007"/>
    <n v="108740.34"/>
    <n v="10323.719999999999"/>
    <n v="13.92405063"/>
    <n v="0.61"/>
    <n v="7.0000000000000007E-2"/>
  </r>
  <r>
    <x v="0"/>
    <x v="0"/>
    <x v="0"/>
    <x v="0"/>
    <x v="1"/>
    <n v="1844"/>
    <n v="76.510000000000005"/>
    <n v="73.05"/>
    <n v="24"/>
    <x v="0"/>
    <n v="75.886524820000005"/>
    <n v="134704.20000000001"/>
    <n v="6380.24"/>
    <n v="1.301518438"/>
    <n v="0.94"/>
    <n v="0.05"/>
  </r>
  <r>
    <x v="2"/>
    <x v="2"/>
    <x v="0"/>
    <x v="4"/>
    <x v="1"/>
    <n v="709"/>
    <n v="61.64"/>
    <n v="54.55"/>
    <n v="41"/>
    <x v="0"/>
    <n v="72.027972030000001"/>
    <n v="38675.949999999997"/>
    <n v="5026.8100000000004"/>
    <n v="5.7827926659999997"/>
    <n v="0.86"/>
    <n v="0.14000000000000001"/>
  </r>
  <r>
    <x v="1"/>
    <x v="1"/>
    <x v="0"/>
    <x v="1"/>
    <x v="1"/>
    <n v="813"/>
    <n v="45.68"/>
    <n v="41.78"/>
    <n v="155"/>
    <x v="1"/>
    <n v="70.175438600000007"/>
    <n v="33967.14"/>
    <n v="3170.7"/>
    <n v="19.065190650000002"/>
    <n v="0.39"/>
    <n v="0.12"/>
  </r>
  <r>
    <x v="1"/>
    <x v="1"/>
    <x v="0"/>
    <x v="0"/>
    <x v="1"/>
    <n v="1004"/>
    <n v="96.51"/>
    <n v="92.9"/>
    <n v="146"/>
    <x v="1"/>
    <n v="70.175438600000007"/>
    <n v="93271.6"/>
    <n v="3624.44"/>
    <n v="14.54183267"/>
    <n v="0.39"/>
    <n v="0.1"/>
  </r>
  <r>
    <x v="4"/>
    <x v="4"/>
    <x v="1"/>
    <x v="3"/>
    <x v="1"/>
    <n v="452"/>
    <n v="46.45"/>
    <n v="40.39"/>
    <n v="9"/>
    <x v="0"/>
    <n v="72.289156629999994"/>
    <n v="18256.28"/>
    <n v="2739.12"/>
    <n v="1.9911504419999999"/>
    <n v="0.98"/>
    <n v="0.22"/>
  </r>
  <r>
    <x v="3"/>
    <x v="3"/>
    <x v="1"/>
    <x v="3"/>
    <x v="3"/>
    <n v="1419"/>
    <n v="83.91"/>
    <n v="71.459999999999994"/>
    <n v="137"/>
    <x v="0"/>
    <n v="12.179487180000001"/>
    <n v="101401.74"/>
    <n v="17666.55"/>
    <n v="9.6546863989999991"/>
    <n v="0.76"/>
    <n v="7.0000000000000007E-2"/>
  </r>
  <r>
    <x v="3"/>
    <x v="3"/>
    <x v="0"/>
    <x v="2"/>
    <x v="1"/>
    <n v="1584"/>
    <n v="53.73"/>
    <n v="51.92"/>
    <n v="167"/>
    <x v="1"/>
    <n v="70.512820509999997"/>
    <n v="82241.279999999999"/>
    <n v="2867.04"/>
    <n v="10.54292929"/>
    <n v="0.24"/>
    <n v="0.06"/>
  </r>
  <r>
    <x v="2"/>
    <x v="2"/>
    <x v="1"/>
    <x v="1"/>
    <x v="3"/>
    <n v="196"/>
    <n v="44.36"/>
    <n v="43.81"/>
    <n v="6"/>
    <x v="0"/>
    <n v="11.188811189999999"/>
    <n v="8586.76"/>
    <n v="107.8"/>
    <n v="3.0612244899999999"/>
    <n v="0.86"/>
    <n v="0.51"/>
  </r>
  <r>
    <x v="0"/>
    <x v="0"/>
    <x v="1"/>
    <x v="0"/>
    <x v="1"/>
    <n v="1221"/>
    <n v="53.19"/>
    <n v="46.18"/>
    <n v="29"/>
    <x v="0"/>
    <n v="75.886524820000005"/>
    <n v="56385.78"/>
    <n v="8559.2099999999991"/>
    <n v="2.375102375"/>
    <n v="0.94"/>
    <n v="0.08"/>
  </r>
  <r>
    <x v="0"/>
    <x v="0"/>
    <x v="1"/>
    <x v="2"/>
    <x v="1"/>
    <n v="913"/>
    <n v="37.5"/>
    <n v="36.200000000000003"/>
    <n v="24"/>
    <x v="0"/>
    <n v="75.886524820000005"/>
    <n v="33050.6"/>
    <n v="1186.9000000000001"/>
    <n v="2.628696605"/>
    <n v="0.94"/>
    <n v="0.11"/>
  </r>
  <r>
    <x v="0"/>
    <x v="0"/>
    <x v="0"/>
    <x v="2"/>
    <x v="1"/>
    <n v="1784"/>
    <n v="85.01"/>
    <n v="76.69"/>
    <n v="37"/>
    <x v="0"/>
    <n v="75.886524820000005"/>
    <n v="136814.96"/>
    <n v="14842.88"/>
    <n v="2.0739910309999998"/>
    <n v="0.94"/>
    <n v="0.06"/>
  </r>
  <r>
    <x v="1"/>
    <x v="1"/>
    <x v="1"/>
    <x v="3"/>
    <x v="1"/>
    <n v="1893"/>
    <n v="55.8"/>
    <n v="52.35"/>
    <n v="155"/>
    <x v="0"/>
    <n v="70.175438600000007"/>
    <n v="99098.55"/>
    <n v="6530.85"/>
    <n v="8.1880612779999993"/>
    <n v="0.61"/>
    <n v="0.05"/>
  </r>
  <r>
    <x v="1"/>
    <x v="1"/>
    <x v="0"/>
    <x v="4"/>
    <x v="3"/>
    <n v="538"/>
    <n v="34.299999999999997"/>
    <n v="32.25"/>
    <n v="84"/>
    <x v="1"/>
    <n v="9.9415204680000002"/>
    <n v="17350.5"/>
    <n v="1102.9000000000001"/>
    <n v="15.6133829"/>
    <n v="0.39"/>
    <n v="0.19"/>
  </r>
  <r>
    <x v="1"/>
    <x v="1"/>
    <x v="1"/>
    <x v="0"/>
    <x v="3"/>
    <n v="978"/>
    <n v="94.15"/>
    <n v="87.7"/>
    <n v="149"/>
    <x v="1"/>
    <n v="9.9415204680000002"/>
    <n v="85770.6"/>
    <n v="6308.1"/>
    <n v="15.23517382"/>
    <n v="0.39"/>
    <n v="0.1"/>
  </r>
  <r>
    <x v="4"/>
    <x v="4"/>
    <x v="0"/>
    <x v="3"/>
    <x v="0"/>
    <n v="1713"/>
    <n v="47.45"/>
    <n v="42.05"/>
    <n v="53"/>
    <x v="0"/>
    <n v="8.4337349400000008"/>
    <n v="72031.649999999994"/>
    <n v="9250.2000000000007"/>
    <n v="3.0939871569999999"/>
    <n v="0.98"/>
    <n v="0.06"/>
  </r>
  <r>
    <x v="1"/>
    <x v="1"/>
    <x v="1"/>
    <x v="3"/>
    <x v="3"/>
    <n v="600"/>
    <n v="60.1"/>
    <n v="57.92"/>
    <n v="95"/>
    <x v="1"/>
    <n v="9.9415204680000002"/>
    <n v="34752"/>
    <n v="1308"/>
    <n v="15.83333333"/>
    <n v="0.39"/>
    <n v="0.17"/>
  </r>
  <r>
    <x v="0"/>
    <x v="0"/>
    <x v="0"/>
    <x v="4"/>
    <x v="3"/>
    <n v="387"/>
    <n v="100.28"/>
    <n v="85.54"/>
    <n v="5"/>
    <x v="0"/>
    <n v="7.80141844"/>
    <n v="33103.980000000003"/>
    <n v="5704.38"/>
    <n v="1.2919896639999999"/>
    <n v="0.94"/>
    <n v="0.26"/>
  </r>
  <r>
    <x v="0"/>
    <x v="0"/>
    <x v="1"/>
    <x v="1"/>
    <x v="3"/>
    <n v="921"/>
    <n v="68.83"/>
    <n v="59.13"/>
    <n v="22"/>
    <x v="0"/>
    <n v="7.80141844"/>
    <n v="54458.73"/>
    <n v="8933.7000000000007"/>
    <n v="2.3887079259999999"/>
    <n v="0.94"/>
    <n v="0.11"/>
  </r>
  <r>
    <x v="3"/>
    <x v="3"/>
    <x v="0"/>
    <x v="1"/>
    <x v="1"/>
    <n v="690"/>
    <n v="22.47"/>
    <n v="21.94"/>
    <n v="77"/>
    <x v="0"/>
    <n v="70.512820509999997"/>
    <n v="15138.6"/>
    <n v="365.7"/>
    <n v="11.15942029"/>
    <n v="0.76"/>
    <n v="0.14000000000000001"/>
  </r>
  <r>
    <x v="0"/>
    <x v="0"/>
    <x v="0"/>
    <x v="0"/>
    <x v="0"/>
    <n v="1852"/>
    <n v="104.04"/>
    <n v="94.89"/>
    <n v="36"/>
    <x v="0"/>
    <n v="9.2198581560000008"/>
    <n v="175736.28"/>
    <n v="16945.8"/>
    <n v="1.943844492"/>
    <n v="0.94"/>
    <n v="0.05"/>
  </r>
  <r>
    <x v="1"/>
    <x v="1"/>
    <x v="1"/>
    <x v="4"/>
    <x v="1"/>
    <n v="522"/>
    <n v="66.83"/>
    <n v="58.01"/>
    <n v="74"/>
    <x v="0"/>
    <n v="70.175438600000007"/>
    <n v="30281.22"/>
    <n v="4604.04"/>
    <n v="14.176245209999999"/>
    <n v="0.61"/>
    <n v="0.19"/>
  </r>
  <r>
    <x v="1"/>
    <x v="1"/>
    <x v="0"/>
    <x v="4"/>
    <x v="1"/>
    <n v="200"/>
    <n v="44.16"/>
    <n v="43.13"/>
    <n v="21"/>
    <x v="0"/>
    <n v="70.175438600000007"/>
    <n v="8626"/>
    <n v="206"/>
    <n v="10.5"/>
    <n v="0.61"/>
    <n v="0.5"/>
  </r>
  <r>
    <x v="2"/>
    <x v="2"/>
    <x v="1"/>
    <x v="2"/>
    <x v="1"/>
    <n v="1488"/>
    <n v="22.76"/>
    <n v="21.99"/>
    <n v="55"/>
    <x v="0"/>
    <n v="72.027972030000001"/>
    <n v="32721.119999999999"/>
    <n v="1145.76"/>
    <n v="3.6962365589999999"/>
    <n v="0.86"/>
    <n v="7.0000000000000007E-2"/>
  </r>
  <r>
    <x v="4"/>
    <x v="4"/>
    <x v="0"/>
    <x v="4"/>
    <x v="1"/>
    <n v="1371"/>
    <n v="87.16"/>
    <n v="78.13"/>
    <n v="43"/>
    <x v="0"/>
    <n v="72.289156629999994"/>
    <n v="107116.23"/>
    <n v="12380.13"/>
    <n v="3.1363967910000001"/>
    <n v="0.98"/>
    <n v="7.0000000000000007E-2"/>
  </r>
  <r>
    <x v="0"/>
    <x v="0"/>
    <x v="0"/>
    <x v="0"/>
    <x v="1"/>
    <n v="1684"/>
    <n v="73.05"/>
    <n v="62.53"/>
    <n v="24"/>
    <x v="0"/>
    <n v="75.886524820000005"/>
    <n v="105300.52"/>
    <n v="17715.68"/>
    <n v="1.425178147"/>
    <n v="0.94"/>
    <n v="0.06"/>
  </r>
  <r>
    <x v="4"/>
    <x v="4"/>
    <x v="0"/>
    <x v="4"/>
    <x v="1"/>
    <n v="312"/>
    <n v="63.52"/>
    <n v="58.09"/>
    <n v="33"/>
    <x v="0"/>
    <n v="72.289156629999994"/>
    <n v="18124.080000000002"/>
    <n v="1694.16"/>
    <n v="10.57692308"/>
    <n v="0.98"/>
    <n v="0.32"/>
  </r>
  <r>
    <x v="0"/>
    <x v="0"/>
    <x v="0"/>
    <x v="2"/>
    <x v="0"/>
    <n v="1837"/>
    <n v="99.04"/>
    <n v="86.51"/>
    <n v="39"/>
    <x v="0"/>
    <n v="9.2198581560000008"/>
    <n v="158918.87"/>
    <n v="23017.61"/>
    <n v="2.1230266740000001"/>
    <n v="0.94"/>
    <n v="0.05"/>
  </r>
  <r>
    <x v="3"/>
    <x v="3"/>
    <x v="0"/>
    <x v="1"/>
    <x v="1"/>
    <n v="193"/>
    <n v="87.86"/>
    <n v="81.739999999999995"/>
    <n v="21"/>
    <x v="0"/>
    <n v="70.512820509999997"/>
    <n v="15775.82"/>
    <n v="1181.1600000000001"/>
    <n v="10.88082902"/>
    <n v="0.76"/>
    <n v="0.52"/>
  </r>
  <r>
    <x v="3"/>
    <x v="3"/>
    <x v="1"/>
    <x v="4"/>
    <x v="1"/>
    <n v="395"/>
    <n v="24.83"/>
    <n v="23.96"/>
    <n v="31"/>
    <x v="0"/>
    <n v="70.512820509999997"/>
    <n v="9464.2000000000007"/>
    <n v="343.65"/>
    <n v="7.8481012659999996"/>
    <n v="0.76"/>
    <n v="0.25"/>
  </r>
  <r>
    <x v="4"/>
    <x v="4"/>
    <x v="1"/>
    <x v="4"/>
    <x v="0"/>
    <n v="673"/>
    <n v="39.58"/>
    <n v="35.83"/>
    <n v="25"/>
    <x v="0"/>
    <n v="8.4337349400000008"/>
    <n v="24113.59"/>
    <n v="2523.75"/>
    <n v="3.7147102529999998"/>
    <n v="0.98"/>
    <n v="0.15"/>
  </r>
  <r>
    <x v="1"/>
    <x v="1"/>
    <x v="1"/>
    <x v="0"/>
    <x v="0"/>
    <n v="1066"/>
    <n v="33.33"/>
    <n v="28.47"/>
    <n v="162"/>
    <x v="1"/>
    <n v="9.3567251460000005"/>
    <n v="30349.02"/>
    <n v="5180.76"/>
    <n v="15.19699812"/>
    <n v="0.39"/>
    <n v="0.09"/>
  </r>
  <r>
    <x v="2"/>
    <x v="2"/>
    <x v="0"/>
    <x v="2"/>
    <x v="1"/>
    <n v="1645"/>
    <n v="85.42"/>
    <n v="80.78"/>
    <n v="73"/>
    <x v="1"/>
    <n v="72.027972030000001"/>
    <n v="132883.1"/>
    <n v="7632.8"/>
    <n v="4.4376899700000001"/>
    <n v="0.14000000000000001"/>
    <n v="0.06"/>
  </r>
  <r>
    <x v="0"/>
    <x v="0"/>
    <x v="1"/>
    <x v="4"/>
    <x v="1"/>
    <n v="930"/>
    <n v="13.67"/>
    <n v="11.95"/>
    <n v="16"/>
    <x v="0"/>
    <n v="75.886524820000005"/>
    <n v="11113.5"/>
    <n v="1599.6"/>
    <n v="1.720430108"/>
    <n v="0.94"/>
    <n v="0.11"/>
  </r>
  <r>
    <x v="0"/>
    <x v="0"/>
    <x v="1"/>
    <x v="0"/>
    <x v="1"/>
    <n v="51"/>
    <n v="63.74"/>
    <n v="56.1"/>
    <n v="0"/>
    <x v="0"/>
    <n v="75.886524820000005"/>
    <n v="2861.1"/>
    <n v="389.64"/>
    <n v="0"/>
    <n v="0.94"/>
    <n v="1.96"/>
  </r>
  <r>
    <x v="2"/>
    <x v="2"/>
    <x v="1"/>
    <x v="2"/>
    <x v="1"/>
    <n v="946"/>
    <n v="81.77"/>
    <n v="71.650000000000006"/>
    <n v="55"/>
    <x v="0"/>
    <n v="72.027972030000001"/>
    <n v="67780.899999999994"/>
    <n v="9573.52"/>
    <n v="5.8139534880000001"/>
    <n v="0.86"/>
    <n v="0.11"/>
  </r>
  <r>
    <x v="4"/>
    <x v="4"/>
    <x v="0"/>
    <x v="3"/>
    <x v="2"/>
    <n v="1377"/>
    <n v="94.69"/>
    <n v="84.2"/>
    <n v="33"/>
    <x v="0"/>
    <n v="8.4337349400000008"/>
    <n v="115943.4"/>
    <n v="14444.73"/>
    <n v="2.3965141609999998"/>
    <n v="0.98"/>
    <n v="7.0000000000000007E-2"/>
  </r>
  <r>
    <x v="4"/>
    <x v="4"/>
    <x v="1"/>
    <x v="2"/>
    <x v="0"/>
    <n v="303"/>
    <n v="41.6"/>
    <n v="40.51"/>
    <n v="11"/>
    <x v="0"/>
    <n v="8.4337349400000008"/>
    <n v="12274.53"/>
    <n v="330.27"/>
    <n v="3.6303630359999999"/>
    <n v="0.98"/>
    <n v="0.33"/>
  </r>
  <r>
    <x v="0"/>
    <x v="0"/>
    <x v="0"/>
    <x v="3"/>
    <x v="1"/>
    <n v="1725"/>
    <n v="93.14"/>
    <n v="79.62"/>
    <n v="24"/>
    <x v="0"/>
    <n v="75.886524820000005"/>
    <n v="137344.5"/>
    <n v="23322"/>
    <n v="1.391304348"/>
    <n v="0.94"/>
    <n v="0.06"/>
  </r>
  <r>
    <x v="3"/>
    <x v="3"/>
    <x v="0"/>
    <x v="3"/>
    <x v="0"/>
    <n v="502"/>
    <n v="22.05"/>
    <n v="20.65"/>
    <n v="50"/>
    <x v="1"/>
    <n v="8.9743589739999994"/>
    <n v="10366.299999999999"/>
    <n v="702.8"/>
    <n v="9.9601593630000007"/>
    <n v="0.24"/>
    <n v="0.2"/>
  </r>
  <r>
    <x v="2"/>
    <x v="2"/>
    <x v="1"/>
    <x v="2"/>
    <x v="1"/>
    <n v="1110"/>
    <n v="90.49"/>
    <n v="80.03"/>
    <n v="61"/>
    <x v="0"/>
    <n v="72.027972030000001"/>
    <n v="88833.3"/>
    <n v="11610.6"/>
    <n v="5.4954954950000001"/>
    <n v="0.86"/>
    <n v="0.09"/>
  </r>
  <r>
    <x v="0"/>
    <x v="0"/>
    <x v="0"/>
    <x v="2"/>
    <x v="1"/>
    <n v="1233"/>
    <n v="23.08"/>
    <n v="20.57"/>
    <n v="24"/>
    <x v="0"/>
    <n v="75.886524820000005"/>
    <n v="25362.81"/>
    <n v="3094.83"/>
    <n v="1.946472019"/>
    <n v="0.94"/>
    <n v="0.08"/>
  </r>
  <r>
    <x v="3"/>
    <x v="3"/>
    <x v="1"/>
    <x v="0"/>
    <x v="1"/>
    <n v="1064"/>
    <n v="48.04"/>
    <n v="43.6"/>
    <n v="94"/>
    <x v="0"/>
    <n v="70.512820509999997"/>
    <n v="46390.400000000001"/>
    <n v="4724.16"/>
    <n v="8.8345864659999993"/>
    <n v="0.76"/>
    <n v="0.09"/>
  </r>
  <r>
    <x v="4"/>
    <x v="4"/>
    <x v="1"/>
    <x v="2"/>
    <x v="2"/>
    <n v="58"/>
    <n v="82.57"/>
    <n v="76.55"/>
    <n v="33"/>
    <x v="0"/>
    <n v="8.4337349400000008"/>
    <n v="4439.8999999999996"/>
    <n v="349.16"/>
    <n v="56.896551719999998"/>
    <n v="0.98"/>
    <n v="1.72"/>
  </r>
  <r>
    <x v="3"/>
    <x v="3"/>
    <x v="1"/>
    <x v="1"/>
    <x v="1"/>
    <n v="1306"/>
    <n v="23.49"/>
    <n v="20.170000000000002"/>
    <n v="116"/>
    <x v="1"/>
    <n v="70.512820509999997"/>
    <n v="26342.02"/>
    <n v="4335.92"/>
    <n v="8.8820826949999994"/>
    <n v="0.24"/>
    <n v="0.08"/>
  </r>
  <r>
    <x v="1"/>
    <x v="1"/>
    <x v="0"/>
    <x v="4"/>
    <x v="1"/>
    <n v="1172"/>
    <n v="32.93"/>
    <n v="29.28"/>
    <n v="155"/>
    <x v="1"/>
    <n v="70.175438600000007"/>
    <n v="34316.160000000003"/>
    <n v="4277.8"/>
    <n v="13.225255969999999"/>
    <n v="0.39"/>
    <n v="0.09"/>
  </r>
  <r>
    <x v="0"/>
    <x v="0"/>
    <x v="0"/>
    <x v="2"/>
    <x v="1"/>
    <n v="1732"/>
    <n v="82.5"/>
    <n v="71.709999999999994"/>
    <n v="24"/>
    <x v="0"/>
    <n v="75.886524820000005"/>
    <n v="124201.72"/>
    <n v="18688.28"/>
    <n v="1.385681293"/>
    <n v="0.94"/>
    <n v="0.06"/>
  </r>
  <r>
    <x v="2"/>
    <x v="2"/>
    <x v="0"/>
    <x v="3"/>
    <x v="1"/>
    <n v="865"/>
    <n v="81.540000000000006"/>
    <n v="71.59"/>
    <n v="39"/>
    <x v="0"/>
    <n v="72.027972030000001"/>
    <n v="61925.35"/>
    <n v="8606.75"/>
    <n v="4.5086705199999999"/>
    <n v="0.86"/>
    <n v="0.12"/>
  </r>
  <r>
    <x v="3"/>
    <x v="3"/>
    <x v="1"/>
    <x v="3"/>
    <x v="1"/>
    <n v="257"/>
    <n v="68.72"/>
    <n v="66.92"/>
    <n v="22"/>
    <x v="0"/>
    <n v="70.512820509999997"/>
    <n v="17198.439999999999"/>
    <n v="462.6"/>
    <n v="8.5603112840000009"/>
    <n v="0.76"/>
    <n v="0.39"/>
  </r>
  <r>
    <x v="4"/>
    <x v="4"/>
    <x v="1"/>
    <x v="2"/>
    <x v="1"/>
    <n v="1204"/>
    <n v="73.180000000000007"/>
    <n v="67.59"/>
    <n v="31"/>
    <x v="0"/>
    <n v="72.289156629999994"/>
    <n v="81378.36"/>
    <n v="6730.36"/>
    <n v="2.5747508309999998"/>
    <n v="0.98"/>
    <n v="0.08"/>
  </r>
  <r>
    <x v="3"/>
    <x v="3"/>
    <x v="0"/>
    <x v="4"/>
    <x v="2"/>
    <n v="453"/>
    <n v="64.14"/>
    <n v="60.18"/>
    <n v="51"/>
    <x v="0"/>
    <n v="8.3333333330000006"/>
    <n v="27261.54"/>
    <n v="1793.88"/>
    <n v="11.258278150000001"/>
    <n v="0.76"/>
    <n v="0.22"/>
  </r>
  <r>
    <x v="4"/>
    <x v="4"/>
    <x v="1"/>
    <x v="4"/>
    <x v="1"/>
    <n v="201"/>
    <n v="33.81"/>
    <n v="32.54"/>
    <n v="3"/>
    <x v="0"/>
    <n v="72.289156629999994"/>
    <n v="6540.54"/>
    <n v="255.27"/>
    <n v="1.4925373129999999"/>
    <n v="0.98"/>
    <n v="0.5"/>
  </r>
  <r>
    <x v="1"/>
    <x v="1"/>
    <x v="0"/>
    <x v="0"/>
    <x v="1"/>
    <n v="103"/>
    <n v="44.61"/>
    <n v="42.88"/>
    <n v="10"/>
    <x v="0"/>
    <n v="70.175438600000007"/>
    <n v="4416.6400000000003"/>
    <n v="178.19"/>
    <n v="9.7087378639999997"/>
    <n v="0.61"/>
    <n v="0.97"/>
  </r>
  <r>
    <x v="4"/>
    <x v="4"/>
    <x v="1"/>
    <x v="0"/>
    <x v="1"/>
    <n v="1193"/>
    <n v="27.4"/>
    <n v="27.09"/>
    <n v="33"/>
    <x v="0"/>
    <n v="72.289156629999994"/>
    <n v="32318.37"/>
    <n v="369.83"/>
    <n v="2.766135792"/>
    <n v="0.98"/>
    <n v="0.08"/>
  </r>
  <r>
    <x v="2"/>
    <x v="2"/>
    <x v="1"/>
    <x v="0"/>
    <x v="2"/>
    <n v="1746"/>
    <n v="93.6"/>
    <n v="89.81"/>
    <n v="85"/>
    <x v="0"/>
    <n v="12.58741259"/>
    <n v="156808.26"/>
    <n v="6617.34"/>
    <n v="4.8682703319999998"/>
    <n v="0.86"/>
    <n v="0.06"/>
  </r>
  <r>
    <x v="1"/>
    <x v="1"/>
    <x v="1"/>
    <x v="4"/>
    <x v="1"/>
    <n v="1993"/>
    <n v="65.94"/>
    <n v="59.36"/>
    <n v="155"/>
    <x v="0"/>
    <n v="70.175438600000007"/>
    <n v="118304.48"/>
    <n v="13113.94"/>
    <n v="7.777220271"/>
    <n v="0.61"/>
    <n v="0.05"/>
  </r>
  <r>
    <x v="3"/>
    <x v="3"/>
    <x v="1"/>
    <x v="3"/>
    <x v="1"/>
    <n v="677"/>
    <n v="46.54"/>
    <n v="43.11"/>
    <n v="105"/>
    <x v="1"/>
    <n v="70.512820509999997"/>
    <n v="29185.47"/>
    <n v="2322.11"/>
    <n v="15.509601180000001"/>
    <n v="0.24"/>
    <n v="0.15"/>
  </r>
  <r>
    <x v="0"/>
    <x v="0"/>
    <x v="1"/>
    <x v="0"/>
    <x v="3"/>
    <n v="636"/>
    <n v="53.64"/>
    <n v="49.23"/>
    <n v="18"/>
    <x v="0"/>
    <n v="7.80141844"/>
    <n v="31310.28"/>
    <n v="2804.76"/>
    <n v="2.8301886789999999"/>
    <n v="0.94"/>
    <n v="0.16"/>
  </r>
  <r>
    <x v="4"/>
    <x v="4"/>
    <x v="0"/>
    <x v="2"/>
    <x v="1"/>
    <n v="1698"/>
    <n v="100.97"/>
    <n v="98.73"/>
    <n v="52"/>
    <x v="0"/>
    <n v="72.289156629999994"/>
    <n v="167643.54"/>
    <n v="3803.52"/>
    <n v="3.0624263840000001"/>
    <n v="0.98"/>
    <n v="0.06"/>
  </r>
  <r>
    <x v="2"/>
    <x v="2"/>
    <x v="1"/>
    <x v="0"/>
    <x v="1"/>
    <n v="1493"/>
    <n v="24.87"/>
    <n v="22.89"/>
    <n v="56"/>
    <x v="0"/>
    <n v="72.027972030000001"/>
    <n v="34174.769999999997"/>
    <n v="2956.14"/>
    <n v="3.7508372400000001"/>
    <n v="0.86"/>
    <n v="7.0000000000000007E-2"/>
  </r>
  <r>
    <x v="0"/>
    <x v="0"/>
    <x v="1"/>
    <x v="2"/>
    <x v="1"/>
    <n v="1495"/>
    <n v="64.33"/>
    <n v="58.18"/>
    <n v="26"/>
    <x v="0"/>
    <n v="75.886524820000005"/>
    <n v="86979.1"/>
    <n v="9194.25"/>
    <n v="1.7391304350000001"/>
    <n v="0.94"/>
    <n v="7.0000000000000007E-2"/>
  </r>
  <r>
    <x v="0"/>
    <x v="0"/>
    <x v="0"/>
    <x v="2"/>
    <x v="0"/>
    <n v="153"/>
    <n v="59.42"/>
    <n v="52"/>
    <n v="3"/>
    <x v="0"/>
    <n v="9.2198581560000008"/>
    <n v="7956"/>
    <n v="1135.26"/>
    <n v="1.9607843140000001"/>
    <n v="0.94"/>
    <n v="0.65"/>
  </r>
  <r>
    <x v="1"/>
    <x v="1"/>
    <x v="0"/>
    <x v="3"/>
    <x v="0"/>
    <n v="1925"/>
    <n v="70.88"/>
    <n v="63.41"/>
    <n v="292"/>
    <x v="0"/>
    <n v="9.3567251460000005"/>
    <n v="122064.25"/>
    <n v="14379.75"/>
    <n v="15.168831170000001"/>
    <n v="0.61"/>
    <n v="0.05"/>
  </r>
  <r>
    <x v="3"/>
    <x v="3"/>
    <x v="0"/>
    <x v="2"/>
    <x v="1"/>
    <n v="303"/>
    <n v="12.97"/>
    <n v="11.42"/>
    <n v="105"/>
    <x v="1"/>
    <n v="70.512820509999997"/>
    <n v="3460.26"/>
    <n v="469.65"/>
    <n v="34.653465349999998"/>
    <n v="0.24"/>
    <n v="0.33"/>
  </r>
  <r>
    <x v="0"/>
    <x v="0"/>
    <x v="1"/>
    <x v="0"/>
    <x v="1"/>
    <n v="1300"/>
    <n v="92.92"/>
    <n v="90.63"/>
    <n v="24"/>
    <x v="0"/>
    <n v="75.886524820000005"/>
    <n v="117819"/>
    <n v="2977"/>
    <n v="1.846153846"/>
    <n v="0.94"/>
    <n v="0.08"/>
  </r>
  <r>
    <x v="2"/>
    <x v="2"/>
    <x v="0"/>
    <x v="3"/>
    <x v="1"/>
    <n v="1185"/>
    <n v="103.28"/>
    <n v="99.05"/>
    <n v="55"/>
    <x v="0"/>
    <n v="72.027972030000001"/>
    <n v="117374.25"/>
    <n v="5012.55"/>
    <n v="4.6413502109999998"/>
    <n v="0.86"/>
    <n v="0.08"/>
  </r>
  <r>
    <x v="4"/>
    <x v="4"/>
    <x v="0"/>
    <x v="3"/>
    <x v="1"/>
    <n v="559"/>
    <n v="67.56"/>
    <n v="57.98"/>
    <n v="15"/>
    <x v="0"/>
    <n v="72.289156629999994"/>
    <n v="32410.82"/>
    <n v="5355.22"/>
    <n v="2.6833631480000002"/>
    <n v="0.98"/>
    <n v="0.18"/>
  </r>
  <r>
    <x v="4"/>
    <x v="4"/>
    <x v="0"/>
    <x v="4"/>
    <x v="3"/>
    <n v="1546"/>
    <n v="78.88"/>
    <n v="78"/>
    <n v="38"/>
    <x v="0"/>
    <n v="10.843373489999999"/>
    <n v="120588"/>
    <n v="1360.48"/>
    <n v="2.4579560159999998"/>
    <n v="0.98"/>
    <n v="0.06"/>
  </r>
  <r>
    <x v="4"/>
    <x v="4"/>
    <x v="1"/>
    <x v="2"/>
    <x v="1"/>
    <n v="148"/>
    <n v="93.02"/>
    <n v="85.96"/>
    <n v="4"/>
    <x v="0"/>
    <n v="72.289156629999994"/>
    <n v="12722.08"/>
    <n v="1044.8800000000001"/>
    <n v="2.7027027029999999"/>
    <n v="0.98"/>
    <n v="0.68"/>
  </r>
  <r>
    <x v="1"/>
    <x v="1"/>
    <x v="0"/>
    <x v="0"/>
    <x v="1"/>
    <n v="202"/>
    <n v="81.75"/>
    <n v="78.260000000000005"/>
    <n v="37"/>
    <x v="1"/>
    <n v="70.175438600000007"/>
    <n v="15808.52"/>
    <n v="704.98"/>
    <n v="18.31683168"/>
    <n v="0.39"/>
    <n v="0.5"/>
  </r>
  <r>
    <x v="2"/>
    <x v="2"/>
    <x v="0"/>
    <x v="2"/>
    <x v="1"/>
    <n v="1934"/>
    <n v="25.86"/>
    <n v="25.6"/>
    <n v="78"/>
    <x v="0"/>
    <n v="72.027972030000001"/>
    <n v="49510.400000000001"/>
    <n v="502.84"/>
    <n v="4.0330920370000003"/>
    <n v="0.86"/>
    <n v="0.05"/>
  </r>
  <r>
    <x v="0"/>
    <x v="0"/>
    <x v="1"/>
    <x v="0"/>
    <x v="1"/>
    <n v="963"/>
    <n v="64.959999999999994"/>
    <n v="64.069999999999993"/>
    <n v="20"/>
    <x v="0"/>
    <n v="75.886524820000005"/>
    <n v="61699.41"/>
    <n v="857.07"/>
    <n v="2.0768431980000002"/>
    <n v="0.94"/>
    <n v="0.1"/>
  </r>
  <r>
    <x v="2"/>
    <x v="2"/>
    <x v="0"/>
    <x v="1"/>
    <x v="1"/>
    <n v="1969"/>
    <n v="71.709999999999994"/>
    <n v="61.96"/>
    <n v="55"/>
    <x v="0"/>
    <n v="72.027972030000001"/>
    <n v="121999.24"/>
    <n v="19197.75"/>
    <n v="2.793296089"/>
    <n v="0.86"/>
    <n v="0.05"/>
  </r>
  <r>
    <x v="1"/>
    <x v="1"/>
    <x v="1"/>
    <x v="4"/>
    <x v="1"/>
    <n v="927"/>
    <n v="48.89"/>
    <n v="46.05"/>
    <n v="138"/>
    <x v="0"/>
    <n v="70.175438600000007"/>
    <n v="42688.35"/>
    <n v="2632.68"/>
    <n v="14.88673139"/>
    <n v="0.61"/>
    <n v="0.11"/>
  </r>
  <r>
    <x v="1"/>
    <x v="1"/>
    <x v="1"/>
    <x v="3"/>
    <x v="0"/>
    <n v="387"/>
    <n v="77.81"/>
    <n v="69.040000000000006"/>
    <n v="67"/>
    <x v="0"/>
    <n v="9.3567251460000005"/>
    <n v="26718.48"/>
    <n v="3393.99"/>
    <n v="17.312661500000001"/>
    <n v="0.61"/>
    <n v="0.26"/>
  </r>
  <r>
    <x v="3"/>
    <x v="3"/>
    <x v="1"/>
    <x v="4"/>
    <x v="1"/>
    <n v="1779"/>
    <n v="97.86"/>
    <n v="94.36"/>
    <n v="176"/>
    <x v="0"/>
    <n v="70.512820509999997"/>
    <n v="167866.44"/>
    <n v="6226.5"/>
    <n v="9.8931984259999997"/>
    <n v="0.76"/>
    <n v="0.06"/>
  </r>
  <r>
    <x v="2"/>
    <x v="2"/>
    <x v="1"/>
    <x v="1"/>
    <x v="3"/>
    <n v="871"/>
    <n v="94.7"/>
    <n v="92.66"/>
    <n v="46"/>
    <x v="0"/>
    <n v="11.188811189999999"/>
    <n v="80706.86"/>
    <n v="1776.84"/>
    <n v="5.2812858780000003"/>
    <n v="0.86"/>
    <n v="0.11"/>
  </r>
  <r>
    <x v="4"/>
    <x v="4"/>
    <x v="1"/>
    <x v="4"/>
    <x v="1"/>
    <n v="1236"/>
    <n v="51.33"/>
    <n v="44.03"/>
    <n v="25"/>
    <x v="0"/>
    <n v="72.289156629999994"/>
    <n v="54421.08"/>
    <n v="9022.7999999999993"/>
    <n v="2.0226537219999998"/>
    <n v="0.98"/>
    <n v="0.08"/>
  </r>
  <r>
    <x v="1"/>
    <x v="1"/>
    <x v="0"/>
    <x v="4"/>
    <x v="1"/>
    <n v="1793"/>
    <n v="22.01"/>
    <n v="21.78"/>
    <n v="285"/>
    <x v="0"/>
    <n v="70.175438600000007"/>
    <n v="39051.54"/>
    <n v="412.39"/>
    <n v="15.8951478"/>
    <n v="0.61"/>
    <n v="0.06"/>
  </r>
  <r>
    <x v="1"/>
    <x v="1"/>
    <x v="1"/>
    <x v="1"/>
    <x v="1"/>
    <n v="1006"/>
    <n v="101.1"/>
    <n v="89.04"/>
    <n v="139"/>
    <x v="0"/>
    <n v="70.175438600000007"/>
    <n v="89574.24"/>
    <n v="12132.36"/>
    <n v="13.81709742"/>
    <n v="0.61"/>
    <n v="0.1"/>
  </r>
  <r>
    <x v="3"/>
    <x v="3"/>
    <x v="1"/>
    <x v="4"/>
    <x v="0"/>
    <n v="1754"/>
    <n v="89.35"/>
    <n v="86.54"/>
    <n v="161"/>
    <x v="1"/>
    <n v="8.9743589739999994"/>
    <n v="151791.16"/>
    <n v="4928.74"/>
    <n v="9.1790193840000001"/>
    <n v="0.24"/>
    <n v="0.06"/>
  </r>
  <r>
    <x v="4"/>
    <x v="4"/>
    <x v="1"/>
    <x v="4"/>
    <x v="1"/>
    <n v="210"/>
    <n v="22.17"/>
    <n v="21.32"/>
    <n v="10"/>
    <x v="0"/>
    <n v="72.289156629999994"/>
    <n v="4477.2"/>
    <n v="178.5"/>
    <n v="4.7619047620000003"/>
    <n v="0.98"/>
    <n v="0.48"/>
  </r>
  <r>
    <x v="1"/>
    <x v="1"/>
    <x v="0"/>
    <x v="1"/>
    <x v="1"/>
    <n v="1653"/>
    <n v="102.16"/>
    <n v="91.91"/>
    <n v="217"/>
    <x v="0"/>
    <n v="70.175438600000007"/>
    <n v="151927.23000000001"/>
    <n v="16943.25"/>
    <n v="13.1276467"/>
    <n v="0.61"/>
    <n v="0.06"/>
  </r>
  <r>
    <x v="0"/>
    <x v="0"/>
    <x v="1"/>
    <x v="1"/>
    <x v="2"/>
    <n v="850"/>
    <n v="91.38"/>
    <n v="88.41"/>
    <n v="24"/>
    <x v="0"/>
    <n v="7.092198582"/>
    <n v="75148.5"/>
    <n v="2524.5"/>
    <n v="2.8235294120000001"/>
    <n v="0.94"/>
    <n v="0.12"/>
  </r>
  <r>
    <x v="4"/>
    <x v="4"/>
    <x v="1"/>
    <x v="3"/>
    <x v="1"/>
    <n v="447"/>
    <n v="59.81"/>
    <n v="57.92"/>
    <n v="13"/>
    <x v="0"/>
    <n v="72.289156629999994"/>
    <n v="25890.240000000002"/>
    <n v="844.83"/>
    <n v="2.9082774050000002"/>
    <n v="0.98"/>
    <n v="0.22"/>
  </r>
  <r>
    <x v="2"/>
    <x v="2"/>
    <x v="1"/>
    <x v="0"/>
    <x v="1"/>
    <n v="1350"/>
    <n v="65.11"/>
    <n v="56.95"/>
    <n v="71"/>
    <x v="0"/>
    <n v="72.027972030000001"/>
    <n v="76882.5"/>
    <n v="11016"/>
    <n v="5.2592592590000002"/>
    <n v="0.86"/>
    <n v="7.0000000000000007E-2"/>
  </r>
  <r>
    <x v="3"/>
    <x v="3"/>
    <x v="0"/>
    <x v="0"/>
    <x v="1"/>
    <n v="865"/>
    <n v="51.19"/>
    <n v="47.76"/>
    <n v="83"/>
    <x v="0"/>
    <n v="70.512820509999997"/>
    <n v="41312.400000000001"/>
    <n v="2966.95"/>
    <n v="9.5953757230000001"/>
    <n v="0.76"/>
    <n v="0.12"/>
  </r>
  <r>
    <x v="0"/>
    <x v="0"/>
    <x v="0"/>
    <x v="1"/>
    <x v="1"/>
    <n v="1989"/>
    <n v="16.5"/>
    <n v="15.89"/>
    <n v="57"/>
    <x v="0"/>
    <n v="75.886524820000005"/>
    <n v="31605.21"/>
    <n v="1213.29"/>
    <n v="2.8657616890000002"/>
    <n v="0.94"/>
    <n v="0.05"/>
  </r>
  <r>
    <x v="0"/>
    <x v="0"/>
    <x v="1"/>
    <x v="0"/>
    <x v="1"/>
    <n v="1577"/>
    <n v="41.77"/>
    <n v="39.58"/>
    <n v="32"/>
    <x v="0"/>
    <n v="75.886524820000005"/>
    <n v="62417.66"/>
    <n v="3453.63"/>
    <n v="2.0291693089999998"/>
    <n v="0.94"/>
    <n v="0.06"/>
  </r>
  <r>
    <x v="2"/>
    <x v="2"/>
    <x v="0"/>
    <x v="2"/>
    <x v="3"/>
    <n v="1969"/>
    <n v="89.25"/>
    <n v="87.28"/>
    <n v="108"/>
    <x v="1"/>
    <n v="11.188811189999999"/>
    <n v="171854.32"/>
    <n v="3878.93"/>
    <n v="5.4850177760000003"/>
    <n v="0.14000000000000001"/>
    <n v="0.05"/>
  </r>
  <r>
    <x v="3"/>
    <x v="3"/>
    <x v="0"/>
    <x v="2"/>
    <x v="2"/>
    <n v="1465"/>
    <n v="11.25"/>
    <n v="9.61"/>
    <n v="151"/>
    <x v="0"/>
    <n v="8.3333333330000006"/>
    <n v="14078.65"/>
    <n v="2402.6"/>
    <n v="10.30716724"/>
    <n v="0.76"/>
    <n v="7.0000000000000007E-2"/>
  </r>
  <r>
    <x v="1"/>
    <x v="1"/>
    <x v="1"/>
    <x v="2"/>
    <x v="3"/>
    <n v="1208"/>
    <n v="41.62"/>
    <n v="39.46"/>
    <n v="155"/>
    <x v="0"/>
    <n v="9.9415204680000002"/>
    <n v="47667.68"/>
    <n v="2609.2800000000002"/>
    <n v="12.83112583"/>
    <n v="0.61"/>
    <n v="0.08"/>
  </r>
  <r>
    <x v="3"/>
    <x v="3"/>
    <x v="1"/>
    <x v="3"/>
    <x v="1"/>
    <n v="1268"/>
    <n v="46.06"/>
    <n v="45.26"/>
    <n v="123"/>
    <x v="0"/>
    <n v="70.512820509999997"/>
    <n v="57389.68"/>
    <n v="1014.4"/>
    <n v="9.7003154570000003"/>
    <n v="0.76"/>
    <n v="0.08"/>
  </r>
  <r>
    <x v="1"/>
    <x v="1"/>
    <x v="1"/>
    <x v="0"/>
    <x v="1"/>
    <n v="450"/>
    <n v="59.24"/>
    <n v="55.03"/>
    <n v="68"/>
    <x v="1"/>
    <n v="70.175438600000007"/>
    <n v="24763.5"/>
    <n v="1894.5"/>
    <n v="15.11111111"/>
    <n v="0.39"/>
    <n v="0.22"/>
  </r>
  <r>
    <x v="2"/>
    <x v="2"/>
    <x v="0"/>
    <x v="4"/>
    <x v="2"/>
    <n v="689"/>
    <n v="102.53"/>
    <n v="95.23"/>
    <n v="38"/>
    <x v="0"/>
    <n v="12.58741259"/>
    <n v="65613.47"/>
    <n v="5029.7"/>
    <n v="5.5152394779999998"/>
    <n v="0.86"/>
    <n v="0.15"/>
  </r>
  <r>
    <x v="2"/>
    <x v="2"/>
    <x v="0"/>
    <x v="1"/>
    <x v="1"/>
    <n v="1106"/>
    <n v="44.05"/>
    <n v="38.6"/>
    <n v="51"/>
    <x v="0"/>
    <n v="72.027972030000001"/>
    <n v="42691.6"/>
    <n v="6027.7"/>
    <n v="4.6112115730000003"/>
    <n v="0.86"/>
    <n v="0.09"/>
  </r>
  <r>
    <x v="0"/>
    <x v="0"/>
    <x v="1"/>
    <x v="0"/>
    <x v="1"/>
    <n v="737"/>
    <n v="43.08"/>
    <n v="42.58"/>
    <n v="21"/>
    <x v="0"/>
    <n v="75.886524820000005"/>
    <n v="31381.46"/>
    <n v="368.5"/>
    <n v="2.8493894169999998"/>
    <n v="0.94"/>
    <n v="0.14000000000000001"/>
  </r>
  <r>
    <x v="0"/>
    <x v="0"/>
    <x v="1"/>
    <x v="3"/>
    <x v="1"/>
    <n v="509"/>
    <n v="76.760000000000005"/>
    <n v="74.72"/>
    <n v="7"/>
    <x v="1"/>
    <n v="75.886524820000005"/>
    <n v="38032.480000000003"/>
    <n v="1038.3599999999999"/>
    <n v="1.3752455800000001"/>
    <n v="0.06"/>
    <n v="0.2"/>
  </r>
  <r>
    <x v="0"/>
    <x v="0"/>
    <x v="1"/>
    <x v="4"/>
    <x v="1"/>
    <n v="1004"/>
    <n v="50.7"/>
    <n v="46.59"/>
    <n v="27"/>
    <x v="0"/>
    <n v="75.886524820000005"/>
    <n v="46776.36"/>
    <n v="4126.4399999999996"/>
    <n v="2.6892430279999999"/>
    <n v="0.94"/>
    <n v="0.1"/>
  </r>
  <r>
    <x v="2"/>
    <x v="2"/>
    <x v="1"/>
    <x v="1"/>
    <x v="3"/>
    <n v="1956"/>
    <n v="31.88"/>
    <n v="28.48"/>
    <n v="86"/>
    <x v="0"/>
    <n v="11.188811189999999"/>
    <n v="55706.879999999997"/>
    <n v="6650.4"/>
    <n v="4.396728016"/>
    <n v="0.86"/>
    <n v="0.05"/>
  </r>
  <r>
    <x v="1"/>
    <x v="1"/>
    <x v="1"/>
    <x v="4"/>
    <x v="1"/>
    <n v="519"/>
    <n v="51.73"/>
    <n v="47.52"/>
    <n v="81"/>
    <x v="1"/>
    <n v="70.175438600000007"/>
    <n v="24662.880000000001"/>
    <n v="2184.9899999999998"/>
    <n v="15.60693642"/>
    <n v="0.39"/>
    <n v="0.19"/>
  </r>
  <r>
    <x v="2"/>
    <x v="2"/>
    <x v="0"/>
    <x v="1"/>
    <x v="2"/>
    <n v="1448"/>
    <n v="25.06"/>
    <n v="21.62"/>
    <n v="84"/>
    <x v="0"/>
    <n v="12.58741259"/>
    <n v="31305.759999999998"/>
    <n v="4981.12"/>
    <n v="5.8011049720000001"/>
    <n v="0.86"/>
    <n v="7.0000000000000007E-2"/>
  </r>
  <r>
    <x v="2"/>
    <x v="2"/>
    <x v="1"/>
    <x v="2"/>
    <x v="1"/>
    <n v="1095"/>
    <n v="26.91"/>
    <n v="23.75"/>
    <n v="53"/>
    <x v="0"/>
    <n v="72.027972030000001"/>
    <n v="26006.25"/>
    <n v="3460.2"/>
    <n v="4.8401826479999999"/>
    <n v="0.86"/>
    <n v="0.09"/>
  </r>
  <r>
    <x v="0"/>
    <x v="0"/>
    <x v="1"/>
    <x v="1"/>
    <x v="1"/>
    <n v="799"/>
    <n v="56.22"/>
    <n v="49.51"/>
    <n v="18"/>
    <x v="0"/>
    <n v="75.886524820000005"/>
    <n v="39558.49"/>
    <n v="5361.29"/>
    <n v="2.25281602"/>
    <n v="0.94"/>
    <n v="0.13"/>
  </r>
  <r>
    <x v="3"/>
    <x v="3"/>
    <x v="0"/>
    <x v="1"/>
    <x v="2"/>
    <n v="1743"/>
    <n v="51.04"/>
    <n v="47.15"/>
    <n v="160"/>
    <x v="0"/>
    <n v="8.3333333330000006"/>
    <n v="82182.45"/>
    <n v="6780.27"/>
    <n v="9.1795754449999993"/>
    <n v="0.76"/>
    <n v="0.06"/>
  </r>
  <r>
    <x v="0"/>
    <x v="0"/>
    <x v="0"/>
    <x v="3"/>
    <x v="1"/>
    <n v="87"/>
    <n v="100.65"/>
    <n v="85.56"/>
    <n v="1"/>
    <x v="0"/>
    <n v="75.886524820000005"/>
    <n v="7443.72"/>
    <n v="1312.83"/>
    <n v="1.1494252869999999"/>
    <n v="0.94"/>
    <n v="1.1499999999999999"/>
  </r>
  <r>
    <x v="3"/>
    <x v="3"/>
    <x v="0"/>
    <x v="3"/>
    <x v="1"/>
    <n v="279"/>
    <n v="47.52"/>
    <n v="46.5"/>
    <n v="28"/>
    <x v="1"/>
    <n v="70.512820509999997"/>
    <n v="12973.5"/>
    <n v="284.58"/>
    <n v="10.03584229"/>
    <n v="0.24"/>
    <n v="0.36"/>
  </r>
  <r>
    <x v="1"/>
    <x v="1"/>
    <x v="0"/>
    <x v="3"/>
    <x v="1"/>
    <n v="1438"/>
    <n v="66.61"/>
    <n v="58.5"/>
    <n v="237"/>
    <x v="0"/>
    <n v="70.175438600000007"/>
    <n v="84123"/>
    <n v="11662.18"/>
    <n v="16.481223920000001"/>
    <n v="0.61"/>
    <n v="7.0000000000000007E-2"/>
  </r>
  <r>
    <x v="1"/>
    <x v="1"/>
    <x v="0"/>
    <x v="0"/>
    <x v="2"/>
    <n v="612"/>
    <n v="72.930000000000007"/>
    <n v="63.32"/>
    <n v="99"/>
    <x v="0"/>
    <n v="10.52631579"/>
    <n v="38751.839999999997"/>
    <n v="5881.32"/>
    <n v="16.176470590000001"/>
    <n v="0.61"/>
    <n v="0.16"/>
  </r>
  <r>
    <x v="4"/>
    <x v="4"/>
    <x v="1"/>
    <x v="2"/>
    <x v="3"/>
    <n v="487"/>
    <n v="11.18"/>
    <n v="10.63"/>
    <n v="15"/>
    <x v="0"/>
    <n v="10.843373489999999"/>
    <n v="5176.8100000000004"/>
    <n v="267.85000000000002"/>
    <n v="3.0800821360000001"/>
    <n v="0.98"/>
    <n v="0.21"/>
  </r>
  <r>
    <x v="4"/>
    <x v="4"/>
    <x v="1"/>
    <x v="2"/>
    <x v="2"/>
    <n v="1849"/>
    <n v="70.760000000000005"/>
    <n v="69.25"/>
    <n v="51"/>
    <x v="0"/>
    <n v="8.4337349400000008"/>
    <n v="128043.25"/>
    <n v="2791.99"/>
    <n v="2.7582477010000002"/>
    <n v="0.98"/>
    <n v="0.05"/>
  </r>
  <r>
    <x v="4"/>
    <x v="4"/>
    <x v="1"/>
    <x v="1"/>
    <x v="2"/>
    <n v="1356"/>
    <n v="26.28"/>
    <n v="25.44"/>
    <n v="47"/>
    <x v="0"/>
    <n v="8.4337349400000008"/>
    <n v="34496.639999999999"/>
    <n v="1139.04"/>
    <n v="3.466076696"/>
    <n v="0.98"/>
    <n v="7.0000000000000007E-2"/>
  </r>
  <r>
    <x v="1"/>
    <x v="1"/>
    <x v="0"/>
    <x v="3"/>
    <x v="1"/>
    <n v="76"/>
    <n v="107.59"/>
    <n v="96.33"/>
    <n v="10"/>
    <x v="0"/>
    <n v="70.175438600000007"/>
    <n v="7321.08"/>
    <n v="855.76"/>
    <n v="13.15789474"/>
    <n v="0.61"/>
    <n v="1.32"/>
  </r>
  <r>
    <x v="0"/>
    <x v="0"/>
    <x v="1"/>
    <x v="2"/>
    <x v="2"/>
    <n v="275"/>
    <n v="23.96"/>
    <n v="20.440000000000001"/>
    <n v="24"/>
    <x v="0"/>
    <n v="7.092198582"/>
    <n v="5621"/>
    <n v="968"/>
    <n v="8.7272727270000008"/>
    <n v="0.94"/>
    <n v="0.36"/>
  </r>
  <r>
    <x v="0"/>
    <x v="0"/>
    <x v="0"/>
    <x v="2"/>
    <x v="1"/>
    <n v="1350"/>
    <n v="51.57"/>
    <n v="48.07"/>
    <n v="24"/>
    <x v="0"/>
    <n v="75.886524820000005"/>
    <n v="64894.5"/>
    <n v="4725"/>
    <n v="1.7777777779999999"/>
    <n v="0.94"/>
    <n v="7.0000000000000007E-2"/>
  </r>
  <r>
    <x v="0"/>
    <x v="0"/>
    <x v="1"/>
    <x v="1"/>
    <x v="1"/>
    <n v="847"/>
    <n v="17.77"/>
    <n v="17.39"/>
    <n v="24"/>
    <x v="0"/>
    <n v="75.886524820000005"/>
    <n v="14729.33"/>
    <n v="321.86"/>
    <n v="2.833530106"/>
    <n v="0.94"/>
    <n v="0.12"/>
  </r>
  <r>
    <x v="2"/>
    <x v="2"/>
    <x v="0"/>
    <x v="1"/>
    <x v="1"/>
    <n v="1682"/>
    <n v="105.7"/>
    <n v="101.3"/>
    <n v="94"/>
    <x v="0"/>
    <n v="72.027972030000001"/>
    <n v="170386.6"/>
    <n v="7400.8"/>
    <n v="5.5885850179999998"/>
    <n v="0.86"/>
    <n v="0.06"/>
  </r>
  <r>
    <x v="4"/>
    <x v="4"/>
    <x v="0"/>
    <x v="4"/>
    <x v="1"/>
    <n v="333"/>
    <n v="60.44"/>
    <n v="58.54"/>
    <n v="8"/>
    <x v="0"/>
    <n v="72.289156629999994"/>
    <n v="19493.82"/>
    <n v="632.70000000000005"/>
    <n v="2.4024024019999999"/>
    <n v="0.98"/>
    <n v="0.3"/>
  </r>
  <r>
    <x v="0"/>
    <x v="0"/>
    <x v="0"/>
    <x v="4"/>
    <x v="0"/>
    <n v="928"/>
    <n v="69.31"/>
    <n v="67.260000000000005"/>
    <n v="20"/>
    <x v="0"/>
    <n v="9.2198581560000008"/>
    <n v="62417.279999999999"/>
    <n v="1902.4"/>
    <n v="2.1551724139999999"/>
    <n v="0.94"/>
    <n v="0.11"/>
  </r>
  <r>
    <x v="4"/>
    <x v="4"/>
    <x v="1"/>
    <x v="1"/>
    <x v="2"/>
    <n v="1009"/>
    <n v="16.440000000000001"/>
    <n v="16.18"/>
    <n v="33"/>
    <x v="0"/>
    <n v="8.4337349400000008"/>
    <n v="16325.62"/>
    <n v="262.33999999999997"/>
    <n v="3.2705649160000001"/>
    <n v="0.98"/>
    <n v="0.1"/>
  </r>
  <r>
    <x v="4"/>
    <x v="4"/>
    <x v="0"/>
    <x v="4"/>
    <x v="3"/>
    <n v="1554"/>
    <n v="82.92"/>
    <n v="74.819999999999993"/>
    <n v="44"/>
    <x v="0"/>
    <n v="10.843373489999999"/>
    <n v="116270.28"/>
    <n v="12587.4"/>
    <n v="2.8314028310000001"/>
    <n v="0.98"/>
    <n v="0.06"/>
  </r>
  <r>
    <x v="2"/>
    <x v="2"/>
    <x v="1"/>
    <x v="2"/>
    <x v="2"/>
    <n v="502"/>
    <n v="29.47"/>
    <n v="28.94"/>
    <n v="27"/>
    <x v="0"/>
    <n v="12.58741259"/>
    <n v="14527.88"/>
    <n v="266.06"/>
    <n v="5.3784860559999998"/>
    <n v="0.86"/>
    <n v="0.2"/>
  </r>
  <r>
    <x v="1"/>
    <x v="1"/>
    <x v="1"/>
    <x v="1"/>
    <x v="1"/>
    <n v="1069"/>
    <n v="91.28"/>
    <n v="82.64"/>
    <n v="155"/>
    <x v="0"/>
    <n v="70.175438600000007"/>
    <n v="88342.16"/>
    <n v="9236.16"/>
    <n v="14.49953227"/>
    <n v="0.61"/>
    <n v="0.09"/>
  </r>
  <r>
    <x v="0"/>
    <x v="0"/>
    <x v="1"/>
    <x v="1"/>
    <x v="3"/>
    <n v="1902"/>
    <n v="29.89"/>
    <n v="25.83"/>
    <n v="41"/>
    <x v="0"/>
    <n v="7.80141844"/>
    <n v="49128.66"/>
    <n v="7722.12"/>
    <n v="2.1556256569999999"/>
    <n v="0.94"/>
    <n v="0.05"/>
  </r>
  <r>
    <x v="2"/>
    <x v="2"/>
    <x v="0"/>
    <x v="3"/>
    <x v="3"/>
    <n v="865"/>
    <n v="28.79"/>
    <n v="25.69"/>
    <n v="47"/>
    <x v="0"/>
    <n v="11.188811189999999"/>
    <n v="22221.85"/>
    <n v="2681.5"/>
    <n v="5.4335260119999997"/>
    <n v="0.86"/>
    <n v="0.12"/>
  </r>
  <r>
    <x v="1"/>
    <x v="1"/>
    <x v="1"/>
    <x v="2"/>
    <x v="2"/>
    <n v="708"/>
    <n v="13.36"/>
    <n v="11.61"/>
    <n v="155"/>
    <x v="1"/>
    <n v="10.52631579"/>
    <n v="8219.8799999999992"/>
    <n v="1239"/>
    <n v="21.89265537"/>
    <n v="0.39"/>
    <n v="0.14000000000000001"/>
  </r>
  <r>
    <x v="1"/>
    <x v="1"/>
    <x v="0"/>
    <x v="2"/>
    <x v="1"/>
    <n v="1589"/>
    <n v="55.64"/>
    <n v="48.52"/>
    <n v="155"/>
    <x v="0"/>
    <n v="70.175438600000007"/>
    <n v="77098.28"/>
    <n v="11313.68"/>
    <n v="9.7545626179999996"/>
    <n v="0.61"/>
    <n v="0.06"/>
  </r>
  <r>
    <x v="0"/>
    <x v="0"/>
    <x v="1"/>
    <x v="0"/>
    <x v="1"/>
    <n v="596"/>
    <n v="62.96"/>
    <n v="61.88"/>
    <n v="9"/>
    <x v="0"/>
    <n v="75.886524820000005"/>
    <n v="36880.480000000003"/>
    <n v="643.67999999999995"/>
    <n v="1.5100671139999999"/>
    <n v="0.94"/>
    <n v="0.17"/>
  </r>
  <r>
    <x v="4"/>
    <x v="4"/>
    <x v="0"/>
    <x v="0"/>
    <x v="1"/>
    <n v="1265"/>
    <n v="17.66"/>
    <n v="16.97"/>
    <n v="34"/>
    <x v="0"/>
    <n v="72.289156629999994"/>
    <n v="21467.05"/>
    <n v="872.85"/>
    <n v="2.6877470360000002"/>
    <n v="0.98"/>
    <n v="0.08"/>
  </r>
  <r>
    <x v="3"/>
    <x v="3"/>
    <x v="1"/>
    <x v="3"/>
    <x v="1"/>
    <n v="1122"/>
    <n v="82.99"/>
    <n v="81.7"/>
    <n v="118"/>
    <x v="1"/>
    <n v="70.512820509999997"/>
    <n v="91667.4"/>
    <n v="1447.38"/>
    <n v="10.51693405"/>
    <n v="0.24"/>
    <n v="0.09"/>
  </r>
  <r>
    <x v="4"/>
    <x v="4"/>
    <x v="0"/>
    <x v="0"/>
    <x v="1"/>
    <n v="1585"/>
    <n v="56.38"/>
    <n v="53.05"/>
    <n v="33"/>
    <x v="0"/>
    <n v="72.289156629999994"/>
    <n v="84084.25"/>
    <n v="5278.05"/>
    <n v="2.082018927"/>
    <n v="0.98"/>
    <n v="0.06"/>
  </r>
  <r>
    <x v="4"/>
    <x v="4"/>
    <x v="1"/>
    <x v="4"/>
    <x v="1"/>
    <n v="66"/>
    <n v="58.05"/>
    <n v="50.76"/>
    <n v="33"/>
    <x v="0"/>
    <n v="72.289156629999994"/>
    <n v="3350.16"/>
    <n v="481.14"/>
    <n v="50"/>
    <n v="0.98"/>
    <n v="1.52"/>
  </r>
  <r>
    <x v="3"/>
    <x v="3"/>
    <x v="1"/>
    <x v="1"/>
    <x v="1"/>
    <n v="1245"/>
    <n v="52.4"/>
    <n v="51.65"/>
    <n v="118"/>
    <x v="1"/>
    <n v="70.512820509999997"/>
    <n v="64304.25"/>
    <n v="933.75"/>
    <n v="9.4779116470000009"/>
    <n v="0.24"/>
    <n v="0.08"/>
  </r>
  <r>
    <x v="1"/>
    <x v="1"/>
    <x v="0"/>
    <x v="4"/>
    <x v="1"/>
    <n v="1293"/>
    <n v="50.21"/>
    <n v="47.55"/>
    <n v="155"/>
    <x v="1"/>
    <n v="70.175438600000007"/>
    <n v="61482.15"/>
    <n v="3439.38"/>
    <n v="11.987625680000001"/>
    <n v="0.39"/>
    <n v="0.08"/>
  </r>
  <r>
    <x v="3"/>
    <x v="3"/>
    <x v="0"/>
    <x v="2"/>
    <x v="1"/>
    <n v="207"/>
    <n v="64.290000000000006"/>
    <n v="63.01"/>
    <n v="25"/>
    <x v="0"/>
    <n v="70.512820509999997"/>
    <n v="13043.07"/>
    <n v="264.95999999999998"/>
    <n v="12.07729469"/>
    <n v="0.76"/>
    <n v="0.48"/>
  </r>
  <r>
    <x v="3"/>
    <x v="3"/>
    <x v="0"/>
    <x v="0"/>
    <x v="1"/>
    <n v="526"/>
    <n v="26.37"/>
    <n v="25.32"/>
    <n v="47"/>
    <x v="0"/>
    <n v="70.512820509999997"/>
    <n v="13318.32"/>
    <n v="552.29999999999995"/>
    <n v="8.9353612170000005"/>
    <n v="0.76"/>
    <n v="0.19"/>
  </r>
  <r>
    <x v="2"/>
    <x v="2"/>
    <x v="1"/>
    <x v="4"/>
    <x v="1"/>
    <n v="1119"/>
    <n v="27.03"/>
    <n v="23.82"/>
    <n v="55"/>
    <x v="0"/>
    <n v="72.027972030000001"/>
    <n v="26654.58"/>
    <n v="3591.99"/>
    <n v="4.9151027699999998"/>
    <n v="0.86"/>
    <n v="0.09"/>
  </r>
  <r>
    <x v="2"/>
    <x v="2"/>
    <x v="1"/>
    <x v="2"/>
    <x v="1"/>
    <n v="1446"/>
    <n v="90.63"/>
    <n v="84.51"/>
    <n v="77"/>
    <x v="0"/>
    <n v="72.027972030000001"/>
    <n v="122201.46"/>
    <n v="8849.52"/>
    <n v="5.3250345780000004"/>
    <n v="0.86"/>
    <n v="7.0000000000000007E-2"/>
  </r>
  <r>
    <x v="2"/>
    <x v="2"/>
    <x v="1"/>
    <x v="0"/>
    <x v="1"/>
    <n v="567"/>
    <n v="97.53"/>
    <n v="85.29"/>
    <n v="21"/>
    <x v="0"/>
    <n v="72.027972030000001"/>
    <n v="48359.43"/>
    <n v="6940.08"/>
    <n v="3.703703704"/>
    <n v="0.86"/>
    <n v="0.18"/>
  </r>
  <r>
    <x v="1"/>
    <x v="1"/>
    <x v="1"/>
    <x v="1"/>
    <x v="1"/>
    <n v="148"/>
    <n v="44.91"/>
    <n v="40.1"/>
    <n v="155"/>
    <x v="1"/>
    <n v="70.175438600000007"/>
    <n v="5934.8"/>
    <n v="711.88"/>
    <n v="104.72972969999999"/>
    <n v="0.39"/>
    <n v="0.68"/>
  </r>
  <r>
    <x v="3"/>
    <x v="3"/>
    <x v="0"/>
    <x v="1"/>
    <x v="3"/>
    <n v="1965"/>
    <n v="36.6"/>
    <n v="34.64"/>
    <n v="195"/>
    <x v="0"/>
    <n v="12.179487180000001"/>
    <n v="68067.600000000006"/>
    <n v="3851.4"/>
    <n v="9.9236641219999999"/>
    <n v="0.76"/>
    <n v="0.05"/>
  </r>
  <r>
    <x v="0"/>
    <x v="0"/>
    <x v="1"/>
    <x v="0"/>
    <x v="3"/>
    <n v="1818"/>
    <n v="67.959999999999994"/>
    <n v="58.98"/>
    <n v="24"/>
    <x v="0"/>
    <n v="7.80141844"/>
    <n v="107225.64"/>
    <n v="16325.64"/>
    <n v="1.320132013"/>
    <n v="0.94"/>
    <n v="0.06"/>
  </r>
  <r>
    <x v="3"/>
    <x v="3"/>
    <x v="1"/>
    <x v="1"/>
    <x v="1"/>
    <n v="1110"/>
    <n v="48.19"/>
    <n v="45.88"/>
    <n v="112"/>
    <x v="0"/>
    <n v="70.512820509999997"/>
    <n v="50926.8"/>
    <n v="2564.1"/>
    <n v="10.09009009"/>
    <n v="0.76"/>
    <n v="0.09"/>
  </r>
  <r>
    <x v="1"/>
    <x v="1"/>
    <x v="1"/>
    <x v="3"/>
    <x v="1"/>
    <n v="329"/>
    <n v="12.96"/>
    <n v="12.74"/>
    <n v="48"/>
    <x v="0"/>
    <n v="70.175438600000007"/>
    <n v="4191.46"/>
    <n v="72.38"/>
    <n v="14.589665650000001"/>
    <n v="0.61"/>
    <n v="0.3"/>
  </r>
  <r>
    <x v="2"/>
    <x v="2"/>
    <x v="0"/>
    <x v="0"/>
    <x v="0"/>
    <n v="1422"/>
    <n v="25.62"/>
    <n v="25.18"/>
    <n v="65"/>
    <x v="0"/>
    <n v="4.1958041960000001"/>
    <n v="35805.96"/>
    <n v="625.67999999999995"/>
    <n v="4.5710267230000001"/>
    <n v="0.86"/>
    <n v="7.0000000000000007E-2"/>
  </r>
  <r>
    <x v="1"/>
    <x v="1"/>
    <x v="0"/>
    <x v="3"/>
    <x v="1"/>
    <n v="546"/>
    <n v="82.63"/>
    <n v="74.77"/>
    <n v="76"/>
    <x v="1"/>
    <n v="70.175438600000007"/>
    <n v="40824.42"/>
    <n v="4291.5600000000004"/>
    <n v="13.91941392"/>
    <n v="0.39"/>
    <n v="0.18"/>
  </r>
  <r>
    <x v="2"/>
    <x v="2"/>
    <x v="1"/>
    <x v="0"/>
    <x v="2"/>
    <n v="351"/>
    <n v="72.08"/>
    <n v="71.3"/>
    <n v="20"/>
    <x v="0"/>
    <n v="12.58741259"/>
    <n v="25026.3"/>
    <n v="273.77999999999997"/>
    <n v="5.6980056980000002"/>
    <n v="0.86"/>
    <n v="0.28000000000000003"/>
  </r>
  <r>
    <x v="1"/>
    <x v="1"/>
    <x v="1"/>
    <x v="3"/>
    <x v="2"/>
    <n v="230"/>
    <n v="13"/>
    <n v="12.81"/>
    <n v="155"/>
    <x v="1"/>
    <n v="10.52631579"/>
    <n v="2946.3"/>
    <n v="43.7"/>
    <n v="67.391304349999999"/>
    <n v="0.39"/>
    <n v="0.43"/>
  </r>
  <r>
    <x v="0"/>
    <x v="0"/>
    <x v="1"/>
    <x v="1"/>
    <x v="1"/>
    <n v="656"/>
    <n v="30.73"/>
    <n v="26.26"/>
    <n v="17"/>
    <x v="0"/>
    <n v="75.886524820000005"/>
    <n v="17226.560000000001"/>
    <n v="2932.32"/>
    <n v="2.5914634150000002"/>
    <n v="0.94"/>
    <n v="0.15"/>
  </r>
  <r>
    <x v="2"/>
    <x v="2"/>
    <x v="0"/>
    <x v="1"/>
    <x v="1"/>
    <n v="1172"/>
    <n v="34.340000000000003"/>
    <n v="32.090000000000003"/>
    <n v="69"/>
    <x v="0"/>
    <n v="72.027972030000001"/>
    <n v="37609.480000000003"/>
    <n v="2637"/>
    <n v="5.8873720140000003"/>
    <n v="0.86"/>
    <n v="0.09"/>
  </r>
  <r>
    <x v="2"/>
    <x v="2"/>
    <x v="1"/>
    <x v="4"/>
    <x v="1"/>
    <n v="749"/>
    <n v="71.53"/>
    <n v="70.02"/>
    <n v="41"/>
    <x v="0"/>
    <n v="72.027972030000001"/>
    <n v="52444.98"/>
    <n v="1130.99"/>
    <n v="5.4739652870000004"/>
    <n v="0.86"/>
    <n v="0.13"/>
  </r>
  <r>
    <x v="3"/>
    <x v="3"/>
    <x v="0"/>
    <x v="2"/>
    <x v="1"/>
    <n v="1042"/>
    <n v="12.48"/>
    <n v="12.3"/>
    <n v="88"/>
    <x v="0"/>
    <n v="70.512820509999997"/>
    <n v="12816.6"/>
    <n v="187.56"/>
    <n v="8.4452975049999992"/>
    <n v="0.76"/>
    <n v="0.1"/>
  </r>
  <r>
    <x v="1"/>
    <x v="1"/>
    <x v="1"/>
    <x v="3"/>
    <x v="1"/>
    <n v="1189"/>
    <n v="19.47"/>
    <n v="17.149999999999999"/>
    <n v="155"/>
    <x v="1"/>
    <n v="70.175438600000007"/>
    <n v="20391.349999999999"/>
    <n v="2758.48"/>
    <n v="13.03616484"/>
    <n v="0.39"/>
    <n v="0.08"/>
  </r>
  <r>
    <x v="4"/>
    <x v="4"/>
    <x v="0"/>
    <x v="0"/>
    <x v="1"/>
    <n v="240"/>
    <n v="88.14"/>
    <n v="81.900000000000006"/>
    <n v="4"/>
    <x v="0"/>
    <n v="72.289156629999994"/>
    <n v="19656"/>
    <n v="1497.6"/>
    <n v="1.6666666670000001"/>
    <n v="0.98"/>
    <n v="0.42"/>
  </r>
  <r>
    <x v="4"/>
    <x v="4"/>
    <x v="1"/>
    <x v="1"/>
    <x v="1"/>
    <n v="302"/>
    <n v="26.98"/>
    <n v="26.47"/>
    <n v="9"/>
    <x v="0"/>
    <n v="72.289156629999994"/>
    <n v="7993.94"/>
    <n v="154.02000000000001"/>
    <n v="2.9801324500000002"/>
    <n v="0.98"/>
    <n v="0.33"/>
  </r>
  <r>
    <x v="3"/>
    <x v="3"/>
    <x v="1"/>
    <x v="1"/>
    <x v="3"/>
    <n v="1030"/>
    <n v="70.81"/>
    <n v="61.58"/>
    <n v="105"/>
    <x v="1"/>
    <n v="12.179487180000001"/>
    <n v="63427.4"/>
    <n v="9506.9"/>
    <n v="10.194174759999999"/>
    <n v="0.24"/>
    <n v="0.1"/>
  </r>
  <r>
    <x v="1"/>
    <x v="1"/>
    <x v="0"/>
    <x v="0"/>
    <x v="1"/>
    <n v="977"/>
    <n v="33.79"/>
    <n v="32.25"/>
    <n v="137"/>
    <x v="0"/>
    <n v="70.175438600000007"/>
    <n v="31508.25"/>
    <n v="1504.58"/>
    <n v="14.022517909999999"/>
    <n v="0.61"/>
    <n v="0.1"/>
  </r>
  <r>
    <x v="0"/>
    <x v="0"/>
    <x v="1"/>
    <x v="2"/>
    <x v="1"/>
    <n v="1234"/>
    <n v="19.989999999999998"/>
    <n v="17.66"/>
    <n v="25"/>
    <x v="0"/>
    <n v="75.886524820000005"/>
    <n v="21792.44"/>
    <n v="2875.22"/>
    <n v="2.025931929"/>
    <n v="0.94"/>
    <n v="0.08"/>
  </r>
  <r>
    <x v="3"/>
    <x v="3"/>
    <x v="1"/>
    <x v="0"/>
    <x v="1"/>
    <n v="1329"/>
    <n v="33.479999999999997"/>
    <n v="33.06"/>
    <n v="146"/>
    <x v="0"/>
    <n v="70.512820509999997"/>
    <n v="43936.74"/>
    <n v="558.17999999999995"/>
    <n v="10.985703539999999"/>
    <n v="0.76"/>
    <n v="0.08"/>
  </r>
  <r>
    <x v="2"/>
    <x v="2"/>
    <x v="1"/>
    <x v="3"/>
    <x v="1"/>
    <n v="1396"/>
    <n v="77.63"/>
    <n v="67.81"/>
    <n v="58"/>
    <x v="0"/>
    <n v="72.027972030000001"/>
    <n v="94662.76"/>
    <n v="13708.72"/>
    <n v="4.1547277940000003"/>
    <n v="0.86"/>
    <n v="7.0000000000000007E-2"/>
  </r>
  <r>
    <x v="0"/>
    <x v="0"/>
    <x v="1"/>
    <x v="3"/>
    <x v="1"/>
    <n v="177"/>
    <n v="90.06"/>
    <n v="87.71"/>
    <n v="7"/>
    <x v="0"/>
    <n v="75.886524820000005"/>
    <n v="15524.67"/>
    <n v="415.95"/>
    <n v="3.9548022600000001"/>
    <n v="0.94"/>
    <n v="0.56000000000000005"/>
  </r>
  <r>
    <x v="1"/>
    <x v="1"/>
    <x v="1"/>
    <x v="4"/>
    <x v="1"/>
    <n v="67"/>
    <n v="84.72"/>
    <n v="73.06"/>
    <n v="9"/>
    <x v="0"/>
    <n v="70.175438600000007"/>
    <n v="4895.0200000000004"/>
    <n v="781.22"/>
    <n v="13.432835819999999"/>
    <n v="0.61"/>
    <n v="1.49"/>
  </r>
  <r>
    <x v="2"/>
    <x v="2"/>
    <x v="0"/>
    <x v="0"/>
    <x v="1"/>
    <n v="1866"/>
    <n v="50.78"/>
    <n v="48.2"/>
    <n v="96"/>
    <x v="0"/>
    <n v="72.027972030000001"/>
    <n v="89941.2"/>
    <n v="4814.28"/>
    <n v="5.1446945340000001"/>
    <n v="0.86"/>
    <n v="0.05"/>
  </r>
  <r>
    <x v="4"/>
    <x v="4"/>
    <x v="1"/>
    <x v="1"/>
    <x v="1"/>
    <n v="1808"/>
    <n v="72.23"/>
    <n v="67.86"/>
    <n v="53"/>
    <x v="0"/>
    <n v="72.289156629999994"/>
    <n v="122690.88"/>
    <n v="7900.96"/>
    <n v="2.9314159289999999"/>
    <n v="0.98"/>
    <n v="0.06"/>
  </r>
  <r>
    <x v="1"/>
    <x v="1"/>
    <x v="0"/>
    <x v="4"/>
    <x v="0"/>
    <n v="615"/>
    <n v="30.3"/>
    <n v="29.52"/>
    <n v="96"/>
    <x v="0"/>
    <n v="9.3567251460000005"/>
    <n v="18154.8"/>
    <n v="479.7"/>
    <n v="15.6097561"/>
    <n v="0.61"/>
    <n v="0.16"/>
  </r>
  <r>
    <x v="2"/>
    <x v="2"/>
    <x v="1"/>
    <x v="0"/>
    <x v="3"/>
    <n v="619"/>
    <n v="38.380000000000003"/>
    <n v="35.020000000000003"/>
    <n v="34"/>
    <x v="0"/>
    <n v="11.188811189999999"/>
    <n v="21677.38"/>
    <n v="2079.84"/>
    <n v="5.4927302100000004"/>
    <n v="0.86"/>
    <n v="0.16"/>
  </r>
  <r>
    <x v="1"/>
    <x v="1"/>
    <x v="1"/>
    <x v="0"/>
    <x v="1"/>
    <n v="1396"/>
    <n v="94.75"/>
    <n v="84.06"/>
    <n v="210"/>
    <x v="0"/>
    <n v="70.175438600000007"/>
    <n v="117347.76"/>
    <n v="14923.24"/>
    <n v="15.04297994"/>
    <n v="0.61"/>
    <n v="7.0000000000000007E-2"/>
  </r>
  <r>
    <x v="2"/>
    <x v="2"/>
    <x v="1"/>
    <x v="1"/>
    <x v="1"/>
    <n v="1945"/>
    <n v="11.28"/>
    <n v="9.98"/>
    <n v="94"/>
    <x v="0"/>
    <n v="72.027972030000001"/>
    <n v="19411.099999999999"/>
    <n v="2528.5"/>
    <n v="4.8329048840000004"/>
    <n v="0.86"/>
    <n v="0.05"/>
  </r>
  <r>
    <x v="1"/>
    <x v="1"/>
    <x v="1"/>
    <x v="2"/>
    <x v="1"/>
    <n v="735"/>
    <n v="18.489999999999998"/>
    <n v="15.89"/>
    <n v="113"/>
    <x v="1"/>
    <n v="70.175438600000007"/>
    <n v="11679.15"/>
    <n v="1911"/>
    <n v="15.37414966"/>
    <n v="0.39"/>
    <n v="0.14000000000000001"/>
  </r>
  <r>
    <x v="4"/>
    <x v="4"/>
    <x v="1"/>
    <x v="0"/>
    <x v="3"/>
    <n v="1865"/>
    <n v="30.29"/>
    <n v="26.83"/>
    <n v="56"/>
    <x v="0"/>
    <n v="10.843373489999999"/>
    <n v="50037.95"/>
    <n v="6452.9"/>
    <n v="3.0026809650000001"/>
    <n v="0.98"/>
    <n v="0.05"/>
  </r>
  <r>
    <x v="3"/>
    <x v="3"/>
    <x v="0"/>
    <x v="4"/>
    <x v="0"/>
    <n v="675"/>
    <n v="13.69"/>
    <n v="11.84"/>
    <n v="52"/>
    <x v="0"/>
    <n v="8.9743589739999994"/>
    <n v="7992"/>
    <n v="1248.75"/>
    <n v="7.7037037039999996"/>
    <n v="0.76"/>
    <n v="0.15"/>
  </r>
  <r>
    <x v="2"/>
    <x v="2"/>
    <x v="0"/>
    <x v="1"/>
    <x v="3"/>
    <n v="1361"/>
    <n v="28.57"/>
    <n v="24.29"/>
    <n v="65"/>
    <x v="0"/>
    <n v="11.188811189999999"/>
    <n v="33058.69"/>
    <n v="5825.08"/>
    <n v="4.7759000729999999"/>
    <n v="0.86"/>
    <n v="7.0000000000000007E-2"/>
  </r>
  <r>
    <x v="2"/>
    <x v="2"/>
    <x v="0"/>
    <x v="3"/>
    <x v="1"/>
    <n v="903"/>
    <n v="66.53"/>
    <n v="60.15"/>
    <n v="29"/>
    <x v="0"/>
    <n v="72.027972030000001"/>
    <n v="54315.45"/>
    <n v="5761.14"/>
    <n v="3.2115171650000001"/>
    <n v="0.86"/>
    <n v="0.11"/>
  </r>
  <r>
    <x v="4"/>
    <x v="4"/>
    <x v="0"/>
    <x v="2"/>
    <x v="0"/>
    <n v="1736"/>
    <n v="53.2"/>
    <n v="50.68"/>
    <n v="48"/>
    <x v="0"/>
    <n v="8.4337349400000008"/>
    <n v="87980.479999999996"/>
    <n v="4374.72"/>
    <n v="2.7649769590000002"/>
    <n v="0.98"/>
    <n v="0.06"/>
  </r>
  <r>
    <x v="3"/>
    <x v="3"/>
    <x v="0"/>
    <x v="1"/>
    <x v="1"/>
    <n v="1011"/>
    <n v="98.47"/>
    <n v="97.06"/>
    <n v="91"/>
    <x v="0"/>
    <n v="70.512820509999997"/>
    <n v="98127.66"/>
    <n v="1425.51"/>
    <n v="9.0009891199999998"/>
    <n v="0.76"/>
    <n v="0.1"/>
  </r>
  <r>
    <x v="1"/>
    <x v="1"/>
    <x v="1"/>
    <x v="4"/>
    <x v="1"/>
    <n v="1712"/>
    <n v="88.17"/>
    <n v="85.86"/>
    <n v="246"/>
    <x v="0"/>
    <n v="70.175438600000007"/>
    <n v="146992.32000000001"/>
    <n v="3954.72"/>
    <n v="14.369158880000001"/>
    <n v="0.61"/>
    <n v="0.06"/>
  </r>
  <r>
    <x v="2"/>
    <x v="2"/>
    <x v="1"/>
    <x v="0"/>
    <x v="1"/>
    <n v="204"/>
    <n v="40.76"/>
    <n v="37.46"/>
    <n v="10"/>
    <x v="0"/>
    <n v="72.027972030000001"/>
    <n v="7641.84"/>
    <n v="673.2"/>
    <n v="4.9019607839999999"/>
    <n v="0.86"/>
    <n v="0.49"/>
  </r>
  <r>
    <x v="3"/>
    <x v="3"/>
    <x v="1"/>
    <x v="4"/>
    <x v="2"/>
    <n v="539"/>
    <n v="33.85"/>
    <n v="30.57"/>
    <n v="34"/>
    <x v="1"/>
    <n v="8.3333333330000006"/>
    <n v="16477.23"/>
    <n v="1767.92"/>
    <n v="6.3079777369999999"/>
    <n v="0.24"/>
    <n v="0.19"/>
  </r>
  <r>
    <x v="1"/>
    <x v="1"/>
    <x v="1"/>
    <x v="0"/>
    <x v="1"/>
    <n v="1459"/>
    <n v="45.94"/>
    <n v="42.56"/>
    <n v="212"/>
    <x v="1"/>
    <n v="70.175438600000007"/>
    <n v="62095.040000000001"/>
    <n v="4931.42"/>
    <n v="14.53050034"/>
    <n v="0.39"/>
    <n v="7.0000000000000007E-2"/>
  </r>
  <r>
    <x v="2"/>
    <x v="2"/>
    <x v="1"/>
    <x v="1"/>
    <x v="1"/>
    <n v="834"/>
    <n v="65.02"/>
    <n v="56.19"/>
    <n v="55"/>
    <x v="0"/>
    <n v="72.027972030000001"/>
    <n v="46862.46"/>
    <n v="7364.22"/>
    <n v="6.5947242209999999"/>
    <n v="0.86"/>
    <n v="0.12"/>
  </r>
  <r>
    <x v="2"/>
    <x v="2"/>
    <x v="0"/>
    <x v="2"/>
    <x v="2"/>
    <n v="1177"/>
    <n v="37.369999999999997"/>
    <n v="34.270000000000003"/>
    <n v="60"/>
    <x v="0"/>
    <n v="12.58741259"/>
    <n v="40335.79"/>
    <n v="3648.7"/>
    <n v="5.0977060319999996"/>
    <n v="0.86"/>
    <n v="0.08"/>
  </r>
  <r>
    <x v="1"/>
    <x v="1"/>
    <x v="1"/>
    <x v="1"/>
    <x v="1"/>
    <n v="1466"/>
    <n v="68.819999999999993"/>
    <n v="66.819999999999993"/>
    <n v="211"/>
    <x v="0"/>
    <n v="70.175438600000007"/>
    <n v="97958.12"/>
    <n v="2932"/>
    <n v="14.39290587"/>
    <n v="0.61"/>
    <n v="7.0000000000000007E-2"/>
  </r>
  <r>
    <x v="4"/>
    <x v="4"/>
    <x v="1"/>
    <x v="4"/>
    <x v="1"/>
    <n v="1884"/>
    <n v="47.08"/>
    <n v="44.31"/>
    <n v="54"/>
    <x v="0"/>
    <n v="72.289156629999994"/>
    <n v="83480.039999999994"/>
    <n v="5218.68"/>
    <n v="2.8662420380000002"/>
    <n v="0.98"/>
    <n v="0.05"/>
  </r>
  <r>
    <x v="3"/>
    <x v="3"/>
    <x v="1"/>
    <x v="4"/>
    <x v="1"/>
    <n v="295"/>
    <n v="60.58"/>
    <n v="57.32"/>
    <n v="31"/>
    <x v="0"/>
    <n v="70.512820509999997"/>
    <n v="16909.400000000001"/>
    <n v="961.7"/>
    <n v="10.50847458"/>
    <n v="0.76"/>
    <n v="0.34"/>
  </r>
  <r>
    <x v="2"/>
    <x v="2"/>
    <x v="0"/>
    <x v="3"/>
    <x v="1"/>
    <n v="1249"/>
    <n v="54.18"/>
    <n v="47.29"/>
    <n v="59"/>
    <x v="0"/>
    <n v="72.027972030000001"/>
    <n v="59065.21"/>
    <n v="8605.61"/>
    <n v="4.7237790229999996"/>
    <n v="0.86"/>
    <n v="0.08"/>
  </r>
  <r>
    <x v="1"/>
    <x v="1"/>
    <x v="0"/>
    <x v="3"/>
    <x v="1"/>
    <n v="1112"/>
    <n v="39.06"/>
    <n v="33.6"/>
    <n v="184"/>
    <x v="1"/>
    <n v="70.175438600000007"/>
    <n v="37363.199999999997"/>
    <n v="6071.52"/>
    <n v="16.54676259"/>
    <n v="0.39"/>
    <n v="0.09"/>
  </r>
  <r>
    <x v="2"/>
    <x v="2"/>
    <x v="1"/>
    <x v="0"/>
    <x v="1"/>
    <n v="1550"/>
    <n v="100.61"/>
    <n v="97.43"/>
    <n v="66"/>
    <x v="0"/>
    <n v="72.027972030000001"/>
    <n v="151016.5"/>
    <n v="4929"/>
    <n v="4.2580645160000001"/>
    <n v="0.86"/>
    <n v="0.06"/>
  </r>
  <r>
    <x v="1"/>
    <x v="1"/>
    <x v="1"/>
    <x v="4"/>
    <x v="1"/>
    <n v="1755"/>
    <n v="82.66"/>
    <n v="73.67"/>
    <n v="258"/>
    <x v="1"/>
    <n v="70.175438600000007"/>
    <n v="129290.85"/>
    <n v="15777.45"/>
    <n v="14.700854700000001"/>
    <n v="0.39"/>
    <n v="0.06"/>
  </r>
  <r>
    <x v="2"/>
    <x v="2"/>
    <x v="0"/>
    <x v="3"/>
    <x v="1"/>
    <n v="808"/>
    <n v="24.19"/>
    <n v="21.64"/>
    <n v="39"/>
    <x v="0"/>
    <n v="72.027972030000001"/>
    <n v="17485.12"/>
    <n v="2060.4"/>
    <n v="4.8267326730000004"/>
    <n v="0.86"/>
    <n v="0.12"/>
  </r>
  <r>
    <x v="0"/>
    <x v="0"/>
    <x v="0"/>
    <x v="3"/>
    <x v="2"/>
    <n v="587"/>
    <n v="96.98"/>
    <n v="95.35"/>
    <n v="14"/>
    <x v="0"/>
    <n v="7.092198582"/>
    <n v="55970.45"/>
    <n v="956.81"/>
    <n v="2.3850085179999998"/>
    <n v="0.94"/>
    <n v="0.17"/>
  </r>
  <r>
    <x v="4"/>
    <x v="4"/>
    <x v="0"/>
    <x v="1"/>
    <x v="1"/>
    <n v="1940"/>
    <n v="58.45"/>
    <n v="50.29"/>
    <n v="54"/>
    <x v="0"/>
    <n v="72.289156629999994"/>
    <n v="97562.6"/>
    <n v="15830.4"/>
    <n v="2.7835051549999998"/>
    <n v="0.98"/>
    <n v="0.05"/>
  </r>
  <r>
    <x v="3"/>
    <x v="3"/>
    <x v="1"/>
    <x v="0"/>
    <x v="0"/>
    <n v="1891"/>
    <n v="91.87"/>
    <n v="80.28"/>
    <n v="158"/>
    <x v="0"/>
    <n v="8.9743589739999994"/>
    <n v="151809.48000000001"/>
    <n v="21916.69"/>
    <n v="8.3553675300000005"/>
    <n v="0.76"/>
    <n v="0.05"/>
  </r>
  <r>
    <x v="4"/>
    <x v="4"/>
    <x v="0"/>
    <x v="2"/>
    <x v="1"/>
    <n v="970"/>
    <n v="86.91"/>
    <n v="78.44"/>
    <n v="18"/>
    <x v="0"/>
    <n v="72.289156629999994"/>
    <n v="76086.8"/>
    <n v="8215.9"/>
    <n v="1.855670103"/>
    <n v="0.98"/>
    <n v="0.1"/>
  </r>
  <r>
    <x v="4"/>
    <x v="4"/>
    <x v="0"/>
    <x v="1"/>
    <x v="1"/>
    <n v="457"/>
    <n v="52.85"/>
    <n v="50.34"/>
    <n v="16"/>
    <x v="0"/>
    <n v="72.289156629999994"/>
    <n v="23005.38"/>
    <n v="1147.07"/>
    <n v="3.5010940920000002"/>
    <n v="0.98"/>
    <n v="0.22"/>
  </r>
  <r>
    <x v="3"/>
    <x v="3"/>
    <x v="1"/>
    <x v="0"/>
    <x v="0"/>
    <n v="574"/>
    <n v="12.38"/>
    <n v="11.47"/>
    <n v="105"/>
    <x v="1"/>
    <n v="8.9743589739999994"/>
    <n v="6583.78"/>
    <n v="522.34"/>
    <n v="18.292682930000002"/>
    <n v="0.24"/>
    <n v="0.17"/>
  </r>
  <r>
    <x v="4"/>
    <x v="4"/>
    <x v="1"/>
    <x v="0"/>
    <x v="1"/>
    <n v="877"/>
    <n v="35.549999999999997"/>
    <n v="34.69"/>
    <n v="24"/>
    <x v="0"/>
    <n v="72.289156629999994"/>
    <n v="30423.13"/>
    <n v="754.22"/>
    <n v="2.7366020519999998"/>
    <n v="0.98"/>
    <n v="0.11"/>
  </r>
  <r>
    <x v="0"/>
    <x v="0"/>
    <x v="1"/>
    <x v="1"/>
    <x v="1"/>
    <n v="1579"/>
    <n v="59.04"/>
    <n v="50.95"/>
    <n v="29"/>
    <x v="0"/>
    <n v="75.886524820000005"/>
    <n v="80450.05"/>
    <n v="12774.11"/>
    <n v="1.8366054460000001"/>
    <n v="0.94"/>
    <n v="0.06"/>
  </r>
  <r>
    <x v="1"/>
    <x v="1"/>
    <x v="0"/>
    <x v="3"/>
    <x v="1"/>
    <n v="952"/>
    <n v="74.72"/>
    <n v="69.73"/>
    <n v="155"/>
    <x v="0"/>
    <n v="70.175438600000007"/>
    <n v="66382.960000000006"/>
    <n v="4750.4799999999996"/>
    <n v="16.28151261"/>
    <n v="0.61"/>
    <n v="0.11"/>
  </r>
  <r>
    <x v="3"/>
    <x v="3"/>
    <x v="0"/>
    <x v="3"/>
    <x v="3"/>
    <n v="1898"/>
    <n v="35.53"/>
    <n v="33.25"/>
    <n v="187"/>
    <x v="0"/>
    <n v="12.179487180000001"/>
    <n v="63108.5"/>
    <n v="4327.4399999999996"/>
    <n v="9.8524762910000003"/>
    <n v="0.76"/>
    <n v="0.05"/>
  </r>
  <r>
    <x v="1"/>
    <x v="1"/>
    <x v="1"/>
    <x v="2"/>
    <x v="1"/>
    <n v="85"/>
    <n v="22.54"/>
    <n v="20.68"/>
    <n v="6"/>
    <x v="0"/>
    <n v="70.175438600000007"/>
    <n v="1757.8"/>
    <n v="158.1"/>
    <n v="7.0588235289999997"/>
    <n v="0.61"/>
    <n v="1.18"/>
  </r>
  <r>
    <x v="2"/>
    <x v="2"/>
    <x v="0"/>
    <x v="2"/>
    <x v="3"/>
    <n v="734"/>
    <n v="92.38"/>
    <n v="78.92"/>
    <n v="34"/>
    <x v="1"/>
    <n v="11.188811189999999"/>
    <n v="57927.28"/>
    <n v="9879.64"/>
    <n v="4.6321525890000004"/>
    <n v="0.14000000000000001"/>
    <n v="0.14000000000000001"/>
  </r>
  <r>
    <x v="0"/>
    <x v="0"/>
    <x v="0"/>
    <x v="0"/>
    <x v="1"/>
    <n v="69"/>
    <n v="107.47"/>
    <n v="105.53"/>
    <n v="24"/>
    <x v="0"/>
    <n v="75.886524820000005"/>
    <n v="7281.57"/>
    <n v="133.86000000000001"/>
    <n v="34.782608699999997"/>
    <n v="0.94"/>
    <n v="1.45"/>
  </r>
  <r>
    <x v="1"/>
    <x v="1"/>
    <x v="0"/>
    <x v="2"/>
    <x v="1"/>
    <n v="370"/>
    <n v="63.9"/>
    <n v="55.79"/>
    <n v="59"/>
    <x v="0"/>
    <n v="70.175438600000007"/>
    <n v="20642.3"/>
    <n v="3000.7"/>
    <n v="15.94594595"/>
    <n v="0.61"/>
    <n v="0.27"/>
  </r>
  <r>
    <x v="1"/>
    <x v="1"/>
    <x v="0"/>
    <x v="1"/>
    <x v="1"/>
    <n v="1849"/>
    <n v="28.25"/>
    <n v="27.53"/>
    <n v="271"/>
    <x v="0"/>
    <n v="70.175438600000007"/>
    <n v="50902.97"/>
    <n v="1331.28"/>
    <n v="14.656571120000001"/>
    <n v="0.61"/>
    <n v="0.05"/>
  </r>
  <r>
    <x v="3"/>
    <x v="3"/>
    <x v="1"/>
    <x v="2"/>
    <x v="1"/>
    <n v="561"/>
    <n v="35.54"/>
    <n v="30.99"/>
    <n v="68"/>
    <x v="1"/>
    <n v="70.512820509999997"/>
    <n v="17385.39"/>
    <n v="2552.5500000000002"/>
    <n v="12.121212119999999"/>
    <n v="0.24"/>
    <n v="0.18"/>
  </r>
  <r>
    <x v="2"/>
    <x v="2"/>
    <x v="0"/>
    <x v="4"/>
    <x v="1"/>
    <n v="449"/>
    <n v="12.35"/>
    <n v="10.67"/>
    <n v="29"/>
    <x v="0"/>
    <n v="72.027972030000001"/>
    <n v="4790.83"/>
    <n v="754.32"/>
    <n v="6.4587973270000001"/>
    <n v="0.86"/>
    <n v="0.22"/>
  </r>
  <r>
    <x v="3"/>
    <x v="3"/>
    <x v="0"/>
    <x v="0"/>
    <x v="1"/>
    <n v="703"/>
    <n v="98.75"/>
    <n v="86.78"/>
    <n v="59"/>
    <x v="0"/>
    <n v="70.512820509999997"/>
    <n v="61006.34"/>
    <n v="8414.91"/>
    <n v="8.3926031289999994"/>
    <n v="0.76"/>
    <n v="0.14000000000000001"/>
  </r>
  <r>
    <x v="2"/>
    <x v="2"/>
    <x v="1"/>
    <x v="4"/>
    <x v="1"/>
    <n v="1021"/>
    <n v="20.8"/>
    <n v="18.23"/>
    <n v="37"/>
    <x v="0"/>
    <n v="72.027972030000001"/>
    <n v="18612.830000000002"/>
    <n v="2623.97"/>
    <n v="3.623898139"/>
    <n v="0.86"/>
    <n v="0.1"/>
  </r>
  <r>
    <x v="3"/>
    <x v="3"/>
    <x v="0"/>
    <x v="0"/>
    <x v="1"/>
    <n v="1956"/>
    <n v="68.69"/>
    <n v="65.09"/>
    <n v="105"/>
    <x v="0"/>
    <n v="70.512820509999997"/>
    <n v="127316.04"/>
    <n v="7041.6"/>
    <n v="5.3680981599999997"/>
    <n v="0.76"/>
    <n v="0.05"/>
  </r>
  <r>
    <x v="1"/>
    <x v="1"/>
    <x v="1"/>
    <x v="0"/>
    <x v="2"/>
    <n v="520"/>
    <n v="36.57"/>
    <n v="34.78"/>
    <n v="67"/>
    <x v="1"/>
    <n v="10.52631579"/>
    <n v="18085.599999999999"/>
    <n v="930.8"/>
    <n v="12.88461538"/>
    <n v="0.39"/>
    <n v="0.19"/>
  </r>
  <r>
    <x v="1"/>
    <x v="1"/>
    <x v="0"/>
    <x v="1"/>
    <x v="1"/>
    <n v="1216"/>
    <n v="66.16"/>
    <n v="63"/>
    <n v="179"/>
    <x v="1"/>
    <n v="70.175438600000007"/>
    <n v="76608"/>
    <n v="3842.56"/>
    <n v="14.72039474"/>
    <n v="0.39"/>
    <n v="0.08"/>
  </r>
  <r>
    <x v="0"/>
    <x v="0"/>
    <x v="1"/>
    <x v="3"/>
    <x v="1"/>
    <n v="1165"/>
    <n v="72.06"/>
    <n v="63.93"/>
    <n v="24"/>
    <x v="0"/>
    <n v="75.886524820000005"/>
    <n v="74478.45"/>
    <n v="9471.4500000000007"/>
    <n v="2.0600858369999999"/>
    <n v="0.94"/>
    <n v="0.09"/>
  </r>
  <r>
    <x v="1"/>
    <x v="1"/>
    <x v="0"/>
    <x v="2"/>
    <x v="3"/>
    <n v="1427"/>
    <n v="93.99"/>
    <n v="83.6"/>
    <n v="213"/>
    <x v="0"/>
    <n v="9.9415204680000002"/>
    <n v="119297.2"/>
    <n v="14826.53"/>
    <n v="14.926419060000001"/>
    <n v="0.61"/>
    <n v="7.0000000000000007E-2"/>
  </r>
  <r>
    <x v="4"/>
    <x v="4"/>
    <x v="1"/>
    <x v="4"/>
    <x v="1"/>
    <n v="883"/>
    <n v="29.15"/>
    <n v="25.75"/>
    <n v="14"/>
    <x v="0"/>
    <n v="72.289156629999994"/>
    <n v="22737.25"/>
    <n v="3002.2"/>
    <n v="1.5855039639999999"/>
    <n v="0.98"/>
    <n v="0.11"/>
  </r>
  <r>
    <x v="1"/>
    <x v="1"/>
    <x v="1"/>
    <x v="2"/>
    <x v="2"/>
    <n v="1873"/>
    <n v="11.54"/>
    <n v="9.89"/>
    <n v="284"/>
    <x v="1"/>
    <n v="10.52631579"/>
    <n v="18523.97"/>
    <n v="3090.45"/>
    <n v="15.162840360000001"/>
    <n v="0.39"/>
    <n v="0.05"/>
  </r>
  <r>
    <x v="4"/>
    <x v="4"/>
    <x v="0"/>
    <x v="0"/>
    <x v="1"/>
    <n v="776"/>
    <n v="24.22"/>
    <n v="22.53"/>
    <n v="27"/>
    <x v="0"/>
    <n v="72.289156629999994"/>
    <n v="17483.28"/>
    <n v="1311.44"/>
    <n v="3.4793814429999999"/>
    <n v="0.98"/>
    <n v="0.13"/>
  </r>
  <r>
    <x v="1"/>
    <x v="1"/>
    <x v="1"/>
    <x v="4"/>
    <x v="1"/>
    <n v="903"/>
    <n v="95.55"/>
    <n v="92.45"/>
    <n v="149"/>
    <x v="1"/>
    <n v="70.175438600000007"/>
    <n v="83482.350000000006"/>
    <n v="2799.3"/>
    <n v="16.500553709999998"/>
    <n v="0.39"/>
    <n v="0.11"/>
  </r>
  <r>
    <x v="4"/>
    <x v="4"/>
    <x v="0"/>
    <x v="4"/>
    <x v="1"/>
    <n v="100"/>
    <n v="98.4"/>
    <n v="85.76"/>
    <n v="3"/>
    <x v="0"/>
    <n v="72.289156629999994"/>
    <n v="8576"/>
    <n v="1264"/>
    <n v="3"/>
    <n v="0.98"/>
    <n v="1"/>
  </r>
  <r>
    <x v="4"/>
    <x v="4"/>
    <x v="0"/>
    <x v="0"/>
    <x v="1"/>
    <n v="1738"/>
    <n v="67.91"/>
    <n v="61.15"/>
    <n v="33"/>
    <x v="0"/>
    <n v="72.289156629999994"/>
    <n v="106278.7"/>
    <n v="11748.88"/>
    <n v="1.8987341769999999"/>
    <n v="0.98"/>
    <n v="0.06"/>
  </r>
  <r>
    <x v="1"/>
    <x v="1"/>
    <x v="1"/>
    <x v="2"/>
    <x v="1"/>
    <n v="1771"/>
    <n v="67.569999999999993"/>
    <n v="61.48"/>
    <n v="280"/>
    <x v="1"/>
    <n v="70.175438600000007"/>
    <n v="108881.08"/>
    <n v="10785.39"/>
    <n v="15.810276679999999"/>
    <n v="0.39"/>
    <n v="0.06"/>
  </r>
  <r>
    <x v="4"/>
    <x v="4"/>
    <x v="0"/>
    <x v="4"/>
    <x v="1"/>
    <n v="624"/>
    <n v="74.39"/>
    <n v="66.3"/>
    <n v="18"/>
    <x v="1"/>
    <n v="72.289156629999994"/>
    <n v="41371.199999999997"/>
    <n v="5048.16"/>
    <n v="2.884615385"/>
    <n v="0.02"/>
    <n v="0.16"/>
  </r>
  <r>
    <x v="0"/>
    <x v="0"/>
    <x v="0"/>
    <x v="2"/>
    <x v="2"/>
    <n v="1263"/>
    <n v="28.75"/>
    <n v="27.1"/>
    <n v="26"/>
    <x v="0"/>
    <n v="7.092198582"/>
    <n v="34227.300000000003"/>
    <n v="2083.9499999999998"/>
    <n v="2.0585906569999999"/>
    <n v="0.94"/>
    <n v="0.08"/>
  </r>
  <r>
    <x v="2"/>
    <x v="2"/>
    <x v="1"/>
    <x v="4"/>
    <x v="0"/>
    <n v="1198"/>
    <n v="96.45"/>
    <n v="90.09"/>
    <n v="55"/>
    <x v="0"/>
    <n v="4.1958041960000001"/>
    <n v="107927.82"/>
    <n v="7619.28"/>
    <n v="4.5909849749999996"/>
    <n v="0.86"/>
    <n v="0.08"/>
  </r>
  <r>
    <x v="4"/>
    <x v="4"/>
    <x v="0"/>
    <x v="3"/>
    <x v="1"/>
    <n v="199"/>
    <n v="51.98"/>
    <n v="45.64"/>
    <n v="33"/>
    <x v="1"/>
    <n v="72.289156629999994"/>
    <n v="9082.36"/>
    <n v="1261.6600000000001"/>
    <n v="16.58291457"/>
    <n v="0.02"/>
    <n v="0.5"/>
  </r>
  <r>
    <x v="4"/>
    <x v="4"/>
    <x v="1"/>
    <x v="1"/>
    <x v="3"/>
    <n v="363"/>
    <n v="45.37"/>
    <n v="38.729999999999997"/>
    <n v="33"/>
    <x v="0"/>
    <n v="10.843373489999999"/>
    <n v="14058.99"/>
    <n v="2410.3200000000002"/>
    <n v="9.0909090910000003"/>
    <n v="0.98"/>
    <n v="0.28000000000000003"/>
  </r>
  <r>
    <x v="0"/>
    <x v="0"/>
    <x v="1"/>
    <x v="0"/>
    <x v="1"/>
    <n v="619"/>
    <n v="58.4"/>
    <n v="51.04"/>
    <n v="24"/>
    <x v="0"/>
    <n v="75.886524820000005"/>
    <n v="31593.759999999998"/>
    <n v="4555.84"/>
    <n v="3.8772213249999998"/>
    <n v="0.94"/>
    <n v="0.16"/>
  </r>
  <r>
    <x v="0"/>
    <x v="0"/>
    <x v="0"/>
    <x v="1"/>
    <x v="1"/>
    <n v="1415"/>
    <n v="15.22"/>
    <n v="13.56"/>
    <n v="30"/>
    <x v="0"/>
    <n v="75.886524820000005"/>
    <n v="19187.400000000001"/>
    <n v="2348.9"/>
    <n v="2.1201413429999998"/>
    <n v="0.94"/>
    <n v="7.0000000000000007E-2"/>
  </r>
  <r>
    <x v="3"/>
    <x v="3"/>
    <x v="0"/>
    <x v="2"/>
    <x v="1"/>
    <n v="354"/>
    <n v="27.71"/>
    <n v="23.87"/>
    <n v="39"/>
    <x v="1"/>
    <n v="70.512820509999997"/>
    <n v="8449.98"/>
    <n v="1359.36"/>
    <n v="11.01694915"/>
    <n v="0.24"/>
    <n v="0.28000000000000003"/>
  </r>
  <r>
    <x v="2"/>
    <x v="2"/>
    <x v="0"/>
    <x v="1"/>
    <x v="1"/>
    <n v="1765"/>
    <n v="81.010000000000005"/>
    <n v="78.430000000000007"/>
    <n v="78"/>
    <x v="0"/>
    <n v="72.027972030000001"/>
    <n v="138428.95000000001"/>
    <n v="4553.7"/>
    <n v="4.4192634560000004"/>
    <n v="0.86"/>
    <n v="0.06"/>
  </r>
  <r>
    <x v="3"/>
    <x v="3"/>
    <x v="0"/>
    <x v="1"/>
    <x v="1"/>
    <n v="731"/>
    <n v="19.37"/>
    <n v="17.3"/>
    <n v="69"/>
    <x v="1"/>
    <n v="70.512820509999997"/>
    <n v="12646.3"/>
    <n v="1513.17"/>
    <n v="9.4391244870000008"/>
    <n v="0.24"/>
    <n v="0.14000000000000001"/>
  </r>
  <r>
    <x v="4"/>
    <x v="4"/>
    <x v="1"/>
    <x v="1"/>
    <x v="1"/>
    <n v="887"/>
    <n v="65.89"/>
    <n v="59.67"/>
    <n v="29"/>
    <x v="0"/>
    <n v="72.289156629999994"/>
    <n v="52927.29"/>
    <n v="5517.14"/>
    <n v="3.2694475760000001"/>
    <n v="0.98"/>
    <n v="0.11"/>
  </r>
  <r>
    <x v="0"/>
    <x v="0"/>
    <x v="0"/>
    <x v="1"/>
    <x v="1"/>
    <n v="1856"/>
    <n v="35.29"/>
    <n v="32.409999999999997"/>
    <n v="26"/>
    <x v="0"/>
    <n v="75.886524820000005"/>
    <n v="60152.959999999999"/>
    <n v="5345.28"/>
    <n v="1.400862069"/>
    <n v="0.94"/>
    <n v="0.05"/>
  </r>
  <r>
    <x v="4"/>
    <x v="4"/>
    <x v="0"/>
    <x v="0"/>
    <x v="1"/>
    <n v="1127"/>
    <n v="49.32"/>
    <n v="46.49"/>
    <n v="30"/>
    <x v="0"/>
    <n v="72.289156629999994"/>
    <n v="52394.23"/>
    <n v="3189.41"/>
    <n v="2.6619343390000001"/>
    <n v="0.98"/>
    <n v="0.09"/>
  </r>
  <r>
    <x v="1"/>
    <x v="1"/>
    <x v="1"/>
    <x v="3"/>
    <x v="1"/>
    <n v="1052"/>
    <n v="37.78"/>
    <n v="32.6"/>
    <n v="162"/>
    <x v="0"/>
    <n v="70.175438600000007"/>
    <n v="34295.199999999997"/>
    <n v="5449.36"/>
    <n v="15.39923954"/>
    <n v="0.61"/>
    <n v="0.1"/>
  </r>
  <r>
    <x v="2"/>
    <x v="2"/>
    <x v="0"/>
    <x v="3"/>
    <x v="1"/>
    <n v="493"/>
    <n v="44.74"/>
    <n v="41.44"/>
    <n v="24"/>
    <x v="1"/>
    <n v="72.027972030000001"/>
    <n v="20429.919999999998"/>
    <n v="1626.9"/>
    <n v="4.8681541580000003"/>
    <n v="0.14000000000000001"/>
    <n v="0.2"/>
  </r>
  <r>
    <x v="1"/>
    <x v="1"/>
    <x v="0"/>
    <x v="1"/>
    <x v="2"/>
    <n v="662"/>
    <n v="81.44"/>
    <n v="71.33"/>
    <n v="87"/>
    <x v="0"/>
    <n v="10.52631579"/>
    <n v="47220.46"/>
    <n v="6692.82"/>
    <n v="13.141993960000001"/>
    <n v="0.61"/>
    <n v="0.15"/>
  </r>
  <r>
    <x v="0"/>
    <x v="0"/>
    <x v="1"/>
    <x v="3"/>
    <x v="1"/>
    <n v="1042"/>
    <n v="36.74"/>
    <n v="35.78"/>
    <n v="33"/>
    <x v="0"/>
    <n v="75.886524820000005"/>
    <n v="37282.76"/>
    <n v="1000.32"/>
    <n v="3.1669865640000001"/>
    <n v="0.94"/>
    <n v="0.1"/>
  </r>
  <r>
    <x v="0"/>
    <x v="0"/>
    <x v="1"/>
    <x v="3"/>
    <x v="1"/>
    <n v="313"/>
    <n v="64.03"/>
    <n v="57.74"/>
    <n v="1"/>
    <x v="0"/>
    <n v="75.886524820000005"/>
    <n v="18072.62"/>
    <n v="1968.77"/>
    <n v="0.31948881800000001"/>
    <n v="0.94"/>
    <n v="0.32"/>
  </r>
  <r>
    <x v="0"/>
    <x v="0"/>
    <x v="1"/>
    <x v="0"/>
    <x v="1"/>
    <n v="1126"/>
    <n v="55.22"/>
    <n v="50.38"/>
    <n v="24"/>
    <x v="0"/>
    <n v="75.886524820000005"/>
    <n v="56727.88"/>
    <n v="5449.84"/>
    <n v="2.1314387209999999"/>
    <n v="0.94"/>
    <n v="0.09"/>
  </r>
  <r>
    <x v="2"/>
    <x v="2"/>
    <x v="1"/>
    <x v="1"/>
    <x v="1"/>
    <n v="1645"/>
    <n v="72.17"/>
    <n v="64"/>
    <n v="79"/>
    <x v="0"/>
    <n v="72.027972030000001"/>
    <n v="105280"/>
    <n v="13439.65"/>
    <n v="4.8024316110000003"/>
    <n v="0.86"/>
    <n v="0.06"/>
  </r>
  <r>
    <x v="3"/>
    <x v="3"/>
    <x v="0"/>
    <x v="2"/>
    <x v="1"/>
    <n v="1053"/>
    <n v="100.92"/>
    <n v="92.35"/>
    <n v="104"/>
    <x v="0"/>
    <n v="70.512820509999997"/>
    <n v="97244.55"/>
    <n v="9024.2099999999991"/>
    <n v="9.8765432099999995"/>
    <n v="0.76"/>
    <n v="0.09"/>
  </r>
  <r>
    <x v="4"/>
    <x v="4"/>
    <x v="0"/>
    <x v="1"/>
    <x v="1"/>
    <n v="1693"/>
    <n v="83.14"/>
    <n v="73.3"/>
    <n v="62"/>
    <x v="0"/>
    <n v="72.289156629999994"/>
    <n v="124096.9"/>
    <n v="16659.12"/>
    <n v="3.6621382159999998"/>
    <n v="0.98"/>
    <n v="0.06"/>
  </r>
  <r>
    <x v="4"/>
    <x v="4"/>
    <x v="0"/>
    <x v="3"/>
    <x v="3"/>
    <n v="54"/>
    <n v="32.28"/>
    <n v="28.65"/>
    <n v="3"/>
    <x v="0"/>
    <n v="10.843373489999999"/>
    <n v="1547.1"/>
    <n v="196.02"/>
    <n v="5.5555555559999998"/>
    <n v="0.98"/>
    <n v="1.85"/>
  </r>
  <r>
    <x v="4"/>
    <x v="4"/>
    <x v="0"/>
    <x v="2"/>
    <x v="1"/>
    <n v="1176"/>
    <n v="14.22"/>
    <n v="12.21"/>
    <n v="33"/>
    <x v="0"/>
    <n v="72.289156629999994"/>
    <n v="14358.96"/>
    <n v="2363.7600000000002"/>
    <n v="2.8061224490000001"/>
    <n v="0.98"/>
    <n v="0.09"/>
  </r>
  <r>
    <x v="4"/>
    <x v="4"/>
    <x v="1"/>
    <x v="3"/>
    <x v="1"/>
    <n v="1269"/>
    <n v="35.28"/>
    <n v="33.700000000000003"/>
    <n v="35"/>
    <x v="0"/>
    <n v="72.289156629999994"/>
    <n v="42765.3"/>
    <n v="2005.02"/>
    <n v="2.7580772260000002"/>
    <n v="0.98"/>
    <n v="0.08"/>
  </r>
  <r>
    <x v="4"/>
    <x v="4"/>
    <x v="0"/>
    <x v="3"/>
    <x v="1"/>
    <n v="823"/>
    <n v="68.319999999999993"/>
    <n v="64.459999999999994"/>
    <n v="19"/>
    <x v="0"/>
    <n v="72.289156629999994"/>
    <n v="53050.58"/>
    <n v="3176.78"/>
    <n v="2.3086269740000001"/>
    <n v="0.98"/>
    <n v="0.12"/>
  </r>
  <r>
    <x v="3"/>
    <x v="3"/>
    <x v="0"/>
    <x v="4"/>
    <x v="1"/>
    <n v="926"/>
    <n v="15.65"/>
    <n v="13.49"/>
    <n v="94"/>
    <x v="1"/>
    <n v="70.512820509999997"/>
    <n v="12491.74"/>
    <n v="2000.16"/>
    <n v="10.1511879"/>
    <n v="0.24"/>
    <n v="0.11"/>
  </r>
  <r>
    <x v="1"/>
    <x v="1"/>
    <x v="0"/>
    <x v="4"/>
    <x v="0"/>
    <n v="1041"/>
    <n v="58.5"/>
    <n v="52.54"/>
    <n v="170"/>
    <x v="1"/>
    <n v="9.3567251460000005"/>
    <n v="54694.14"/>
    <n v="6204.36"/>
    <n v="16.330451490000002"/>
    <n v="0.39"/>
    <n v="0.1"/>
  </r>
  <r>
    <x v="2"/>
    <x v="2"/>
    <x v="0"/>
    <x v="4"/>
    <x v="3"/>
    <n v="933"/>
    <n v="70.72"/>
    <n v="65.47"/>
    <n v="42"/>
    <x v="0"/>
    <n v="11.188811189999999"/>
    <n v="61083.51"/>
    <n v="4898.25"/>
    <n v="4.5016077169999997"/>
    <n v="0.86"/>
    <n v="0.11"/>
  </r>
  <r>
    <x v="1"/>
    <x v="1"/>
    <x v="1"/>
    <x v="3"/>
    <x v="1"/>
    <n v="1423"/>
    <n v="41.48"/>
    <n v="40.9"/>
    <n v="199"/>
    <x v="0"/>
    <n v="70.175438600000007"/>
    <n v="58200.7"/>
    <n v="825.34"/>
    <n v="13.984539699999999"/>
    <n v="0.61"/>
    <n v="7.0000000000000007E-2"/>
  </r>
  <r>
    <x v="1"/>
    <x v="1"/>
    <x v="0"/>
    <x v="1"/>
    <x v="1"/>
    <n v="96"/>
    <n v="86.13"/>
    <n v="80.319999999999993"/>
    <n v="12"/>
    <x v="1"/>
    <n v="70.175438600000007"/>
    <n v="7710.72"/>
    <n v="557.76"/>
    <n v="12.5"/>
    <n v="0.39"/>
    <n v="1.04"/>
  </r>
  <r>
    <x v="4"/>
    <x v="4"/>
    <x v="0"/>
    <x v="1"/>
    <x v="1"/>
    <n v="916"/>
    <n v="21.06"/>
    <n v="19.53"/>
    <n v="25"/>
    <x v="0"/>
    <n v="72.289156629999994"/>
    <n v="17889.48"/>
    <n v="1401.48"/>
    <n v="2.7292576419999999"/>
    <n v="0.98"/>
    <n v="0.11"/>
  </r>
  <r>
    <x v="4"/>
    <x v="4"/>
    <x v="1"/>
    <x v="3"/>
    <x v="1"/>
    <n v="872"/>
    <n v="17.18"/>
    <n v="16.63"/>
    <n v="20"/>
    <x v="0"/>
    <n v="72.289156629999994"/>
    <n v="14501.36"/>
    <n v="479.6"/>
    <n v="2.293577982"/>
    <n v="0.98"/>
    <n v="0.11"/>
  </r>
  <r>
    <x v="3"/>
    <x v="3"/>
    <x v="0"/>
    <x v="4"/>
    <x v="1"/>
    <n v="985"/>
    <n v="83.85"/>
    <n v="80.88"/>
    <n v="105"/>
    <x v="1"/>
    <n v="70.512820509999997"/>
    <n v="79666.8"/>
    <n v="2925.45"/>
    <n v="10.659898480000001"/>
    <n v="0.24"/>
    <n v="0.1"/>
  </r>
  <r>
    <x v="2"/>
    <x v="2"/>
    <x v="1"/>
    <x v="3"/>
    <x v="1"/>
    <n v="1893"/>
    <n v="55.14"/>
    <n v="50.1"/>
    <n v="98"/>
    <x v="0"/>
    <n v="72.027972030000001"/>
    <n v="94839.3"/>
    <n v="9540.7199999999993"/>
    <n v="5.1769677759999997"/>
    <n v="0.86"/>
    <n v="0.05"/>
  </r>
  <r>
    <x v="0"/>
    <x v="0"/>
    <x v="1"/>
    <x v="1"/>
    <x v="1"/>
    <n v="705"/>
    <n v="75.19"/>
    <n v="69.55"/>
    <n v="19"/>
    <x v="0"/>
    <n v="75.886524820000005"/>
    <n v="49032.75"/>
    <n v="3976.2"/>
    <n v="2.6950354609999998"/>
    <n v="0.94"/>
    <n v="0.14000000000000001"/>
  </r>
  <r>
    <x v="1"/>
    <x v="1"/>
    <x v="0"/>
    <x v="1"/>
    <x v="1"/>
    <n v="318"/>
    <n v="53.31"/>
    <n v="51.78"/>
    <n v="155"/>
    <x v="1"/>
    <n v="70.175438600000007"/>
    <n v="16466.04"/>
    <n v="486.54"/>
    <n v="48.742138359999998"/>
    <n v="0.39"/>
    <n v="0.31"/>
  </r>
  <r>
    <x v="0"/>
    <x v="0"/>
    <x v="0"/>
    <x v="0"/>
    <x v="3"/>
    <n v="419"/>
    <n v="35.72"/>
    <n v="32.74"/>
    <n v="7"/>
    <x v="0"/>
    <n v="7.80141844"/>
    <n v="13718.06"/>
    <n v="1248.6199999999999"/>
    <n v="1.670644391"/>
    <n v="0.94"/>
    <n v="0.24"/>
  </r>
  <r>
    <x v="2"/>
    <x v="2"/>
    <x v="0"/>
    <x v="1"/>
    <x v="1"/>
    <n v="685"/>
    <n v="92.51"/>
    <n v="90.05"/>
    <n v="38"/>
    <x v="0"/>
    <n v="72.027972030000001"/>
    <n v="61684.25"/>
    <n v="1685.1"/>
    <n v="5.5474452550000004"/>
    <n v="0.86"/>
    <n v="0.15"/>
  </r>
  <r>
    <x v="1"/>
    <x v="1"/>
    <x v="0"/>
    <x v="0"/>
    <x v="2"/>
    <n v="1179"/>
    <n v="90.14"/>
    <n v="82.63"/>
    <n v="194"/>
    <x v="0"/>
    <n v="10.52631579"/>
    <n v="97420.77"/>
    <n v="8854.2900000000009"/>
    <n v="16.454622560000001"/>
    <n v="0.61"/>
    <n v="0.08"/>
  </r>
  <r>
    <x v="0"/>
    <x v="0"/>
    <x v="1"/>
    <x v="3"/>
    <x v="1"/>
    <n v="1743"/>
    <n v="76.510000000000005"/>
    <n v="65.88"/>
    <n v="40"/>
    <x v="0"/>
    <n v="75.886524820000005"/>
    <n v="114828.84"/>
    <n v="18528.09"/>
    <n v="2.2948938609999998"/>
    <n v="0.94"/>
    <n v="0.06"/>
  </r>
  <r>
    <x v="0"/>
    <x v="0"/>
    <x v="1"/>
    <x v="1"/>
    <x v="1"/>
    <n v="1732"/>
    <n v="35.01"/>
    <n v="34.18"/>
    <n v="40"/>
    <x v="0"/>
    <n v="75.886524820000005"/>
    <n v="59199.76"/>
    <n v="1437.56"/>
    <n v="2.3094688219999999"/>
    <n v="0.94"/>
    <n v="0.06"/>
  </r>
  <r>
    <x v="3"/>
    <x v="3"/>
    <x v="1"/>
    <x v="0"/>
    <x v="1"/>
    <n v="706"/>
    <n v="65.33"/>
    <n v="62.06"/>
    <n v="60"/>
    <x v="1"/>
    <n v="70.512820509999997"/>
    <n v="43814.36"/>
    <n v="2308.62"/>
    <n v="8.4985835689999991"/>
    <n v="0.24"/>
    <n v="0.14000000000000001"/>
  </r>
  <r>
    <x v="2"/>
    <x v="2"/>
    <x v="0"/>
    <x v="1"/>
    <x v="0"/>
    <n v="169"/>
    <n v="47.16"/>
    <n v="43.4"/>
    <n v="55"/>
    <x v="0"/>
    <n v="4.1958041960000001"/>
    <n v="7334.6"/>
    <n v="635.44000000000005"/>
    <n v="32.544378700000003"/>
    <n v="0.86"/>
    <n v="0.59"/>
  </r>
  <r>
    <x v="2"/>
    <x v="2"/>
    <x v="1"/>
    <x v="0"/>
    <x v="3"/>
    <n v="880"/>
    <n v="19.149999999999999"/>
    <n v="18.690000000000001"/>
    <n v="55"/>
    <x v="1"/>
    <n v="11.188811189999999"/>
    <n v="16447.2"/>
    <n v="404.8"/>
    <n v="6.25"/>
    <n v="0.14000000000000001"/>
    <n v="0.11"/>
  </r>
  <r>
    <x v="2"/>
    <x v="2"/>
    <x v="1"/>
    <x v="1"/>
    <x v="1"/>
    <n v="1860"/>
    <n v="95.8"/>
    <n v="92.17"/>
    <n v="105"/>
    <x v="1"/>
    <n v="72.027972030000001"/>
    <n v="171436.2"/>
    <n v="6751.8"/>
    <n v="5.6451612899999999"/>
    <n v="0.14000000000000001"/>
    <n v="0.05"/>
  </r>
  <r>
    <x v="1"/>
    <x v="1"/>
    <x v="1"/>
    <x v="1"/>
    <x v="1"/>
    <n v="1677"/>
    <n v="22.98"/>
    <n v="21.71"/>
    <n v="246"/>
    <x v="0"/>
    <n v="70.175438600000007"/>
    <n v="36407.67"/>
    <n v="2129.79"/>
    <n v="14.66905188"/>
    <n v="0.61"/>
    <n v="0.06"/>
  </r>
  <r>
    <x v="3"/>
    <x v="3"/>
    <x v="1"/>
    <x v="2"/>
    <x v="2"/>
    <n v="1131"/>
    <n v="97.43"/>
    <n v="91.28"/>
    <n v="103"/>
    <x v="0"/>
    <n v="8.3333333330000006"/>
    <n v="103237.68"/>
    <n v="6955.65"/>
    <n v="9.1069849690000009"/>
    <n v="0.76"/>
    <n v="0.09"/>
  </r>
  <r>
    <x v="4"/>
    <x v="4"/>
    <x v="1"/>
    <x v="3"/>
    <x v="0"/>
    <n v="1419"/>
    <n v="50.14"/>
    <n v="43.46"/>
    <n v="33"/>
    <x v="0"/>
    <n v="8.4337349400000008"/>
    <n v="61669.74"/>
    <n v="9478.92"/>
    <n v="2.3255813949999999"/>
    <n v="0.98"/>
    <n v="7.0000000000000007E-2"/>
  </r>
  <r>
    <x v="1"/>
    <x v="1"/>
    <x v="1"/>
    <x v="3"/>
    <x v="3"/>
    <n v="790"/>
    <n v="26.8"/>
    <n v="25.62"/>
    <n v="115"/>
    <x v="0"/>
    <n v="9.9415204680000002"/>
    <n v="20239.8"/>
    <n v="932.2"/>
    <n v="14.556962029999999"/>
    <n v="0.61"/>
    <n v="0.13"/>
  </r>
  <r>
    <x v="2"/>
    <x v="2"/>
    <x v="1"/>
    <x v="1"/>
    <x v="3"/>
    <n v="1547"/>
    <n v="61.12"/>
    <n v="53.43"/>
    <n v="77"/>
    <x v="0"/>
    <n v="11.188811189999999"/>
    <n v="82656.210000000006"/>
    <n v="11896.43"/>
    <n v="4.9773755660000001"/>
    <n v="0.86"/>
    <n v="0.06"/>
  </r>
  <r>
    <x v="1"/>
    <x v="1"/>
    <x v="0"/>
    <x v="0"/>
    <x v="0"/>
    <n v="166"/>
    <n v="95.65"/>
    <n v="94.48"/>
    <n v="23"/>
    <x v="0"/>
    <n v="9.3567251460000005"/>
    <n v="15683.68"/>
    <n v="194.22"/>
    <n v="13.85542169"/>
    <n v="0.61"/>
    <n v="0.6"/>
  </r>
  <r>
    <x v="0"/>
    <x v="0"/>
    <x v="0"/>
    <x v="4"/>
    <x v="1"/>
    <n v="1903"/>
    <n v="83.49"/>
    <n v="82.33"/>
    <n v="43"/>
    <x v="0"/>
    <n v="75.886524820000005"/>
    <n v="156673.99"/>
    <n v="2207.48"/>
    <n v="2.259590121"/>
    <n v="0.94"/>
    <n v="0.05"/>
  </r>
  <r>
    <x v="1"/>
    <x v="1"/>
    <x v="1"/>
    <x v="0"/>
    <x v="2"/>
    <n v="840"/>
    <n v="83.42"/>
    <n v="80.349999999999994"/>
    <n v="153"/>
    <x v="0"/>
    <n v="10.52631579"/>
    <n v="67494"/>
    <n v="2578.8000000000002"/>
    <n v="18.214285709999999"/>
    <n v="0.61"/>
    <n v="0.12"/>
  </r>
  <r>
    <x v="1"/>
    <x v="1"/>
    <x v="0"/>
    <x v="1"/>
    <x v="1"/>
    <n v="1200"/>
    <n v="74.489999999999995"/>
    <n v="64.63"/>
    <n v="161"/>
    <x v="0"/>
    <n v="70.175438600000007"/>
    <n v="77556"/>
    <n v="11832"/>
    <n v="13.41666667"/>
    <n v="0.61"/>
    <n v="0.08"/>
  </r>
  <r>
    <x v="2"/>
    <x v="2"/>
    <x v="0"/>
    <x v="3"/>
    <x v="1"/>
    <n v="1466"/>
    <n v="77.37"/>
    <n v="70.349999999999994"/>
    <n v="72"/>
    <x v="0"/>
    <n v="72.027972030000001"/>
    <n v="103133.1"/>
    <n v="10291.32"/>
    <n v="4.911323329"/>
    <n v="0.86"/>
    <n v="7.0000000000000007E-2"/>
  </r>
  <r>
    <x v="0"/>
    <x v="0"/>
    <x v="0"/>
    <x v="0"/>
    <x v="1"/>
    <n v="1981"/>
    <n v="95.5"/>
    <n v="94.39"/>
    <n v="49"/>
    <x v="0"/>
    <n v="75.886524820000005"/>
    <n v="186986.59"/>
    <n v="2198.91"/>
    <n v="2.4734982329999999"/>
    <n v="0.94"/>
    <n v="0.05"/>
  </r>
  <r>
    <x v="2"/>
    <x v="2"/>
    <x v="0"/>
    <x v="2"/>
    <x v="1"/>
    <n v="1062"/>
    <n v="35.549999999999997"/>
    <n v="32.380000000000003"/>
    <n v="55"/>
    <x v="0"/>
    <n v="72.027972030000001"/>
    <n v="34387.56"/>
    <n v="3366.54"/>
    <n v="5.1789077209999999"/>
    <n v="0.86"/>
    <n v="0.09"/>
  </r>
  <r>
    <x v="0"/>
    <x v="0"/>
    <x v="1"/>
    <x v="1"/>
    <x v="1"/>
    <n v="1714"/>
    <n v="55.67"/>
    <n v="55.09"/>
    <n v="42"/>
    <x v="0"/>
    <n v="75.886524820000005"/>
    <n v="94424.26"/>
    <n v="994.12"/>
    <n v="2.4504084009999998"/>
    <n v="0.94"/>
    <n v="0.06"/>
  </r>
  <r>
    <x v="0"/>
    <x v="0"/>
    <x v="0"/>
    <x v="0"/>
    <x v="1"/>
    <n v="1131"/>
    <n v="33.35"/>
    <n v="31.28"/>
    <n v="23"/>
    <x v="0"/>
    <n v="75.886524820000005"/>
    <n v="35377.68"/>
    <n v="2341.17"/>
    <n v="2.033598585"/>
    <n v="0.94"/>
    <n v="0.09"/>
  </r>
  <r>
    <x v="0"/>
    <x v="0"/>
    <x v="0"/>
    <x v="0"/>
    <x v="1"/>
    <n v="683"/>
    <n v="104.82"/>
    <n v="101.34"/>
    <n v="24"/>
    <x v="0"/>
    <n v="75.886524820000005"/>
    <n v="69215.22"/>
    <n v="2376.84"/>
    <n v="3.5139092239999998"/>
    <n v="0.94"/>
    <n v="0.15"/>
  </r>
  <r>
    <x v="2"/>
    <x v="2"/>
    <x v="0"/>
    <x v="2"/>
    <x v="2"/>
    <n v="562"/>
    <n v="102.56"/>
    <n v="90.88"/>
    <n v="38"/>
    <x v="0"/>
    <n v="12.58741259"/>
    <n v="51074.559999999998"/>
    <n v="6564.16"/>
    <n v="6.7615658359999999"/>
    <n v="0.86"/>
    <n v="0.18"/>
  </r>
  <r>
    <x v="0"/>
    <x v="0"/>
    <x v="0"/>
    <x v="4"/>
    <x v="1"/>
    <n v="1824"/>
    <n v="14.43"/>
    <n v="14.11"/>
    <n v="36"/>
    <x v="0"/>
    <n v="75.886524820000005"/>
    <n v="25736.639999999999"/>
    <n v="583.67999999999995"/>
    <n v="1.9736842109999999"/>
    <n v="0.94"/>
    <n v="0.05"/>
  </r>
  <r>
    <x v="3"/>
    <x v="3"/>
    <x v="1"/>
    <x v="4"/>
    <x v="2"/>
    <n v="851"/>
    <n v="76.44"/>
    <n v="74.760000000000005"/>
    <n v="91"/>
    <x v="0"/>
    <n v="8.3333333330000006"/>
    <n v="63620.76"/>
    <n v="1429.68"/>
    <n v="10.693301999999999"/>
    <n v="0.76"/>
    <n v="0.12"/>
  </r>
  <r>
    <x v="3"/>
    <x v="3"/>
    <x v="1"/>
    <x v="0"/>
    <x v="1"/>
    <n v="1169"/>
    <n v="95.6"/>
    <n v="82.16"/>
    <n v="103"/>
    <x v="0"/>
    <n v="70.512820509999997"/>
    <n v="96045.04"/>
    <n v="15711.36"/>
    <n v="8.8109495300000003"/>
    <n v="0.76"/>
    <n v="0.09"/>
  </r>
  <r>
    <x v="4"/>
    <x v="4"/>
    <x v="0"/>
    <x v="1"/>
    <x v="1"/>
    <n v="1711"/>
    <n v="29.14"/>
    <n v="26.35"/>
    <n v="48"/>
    <x v="0"/>
    <n v="72.289156629999994"/>
    <n v="45084.85"/>
    <n v="4773.6899999999996"/>
    <n v="2.805376973"/>
    <n v="0.98"/>
    <n v="0.06"/>
  </r>
  <r>
    <x v="3"/>
    <x v="3"/>
    <x v="0"/>
    <x v="2"/>
    <x v="3"/>
    <n v="1191"/>
    <n v="68.14"/>
    <n v="61.71"/>
    <n v="112"/>
    <x v="0"/>
    <n v="12.179487180000001"/>
    <n v="73496.61"/>
    <n v="7658.13"/>
    <n v="9.4038623010000002"/>
    <n v="0.76"/>
    <n v="0.08"/>
  </r>
  <r>
    <x v="4"/>
    <x v="4"/>
    <x v="1"/>
    <x v="4"/>
    <x v="1"/>
    <n v="609"/>
    <n v="92.39"/>
    <n v="82.75"/>
    <n v="29"/>
    <x v="0"/>
    <n v="72.289156629999994"/>
    <n v="50394.75"/>
    <n v="5870.76"/>
    <n v="4.7619047620000003"/>
    <n v="0.98"/>
    <n v="0.16"/>
  </r>
  <r>
    <x v="3"/>
    <x v="3"/>
    <x v="1"/>
    <x v="0"/>
    <x v="1"/>
    <n v="1674"/>
    <n v="13.25"/>
    <n v="11.77"/>
    <n v="181"/>
    <x v="0"/>
    <n v="70.512820509999997"/>
    <n v="19702.98"/>
    <n v="2477.52"/>
    <n v="10.81242533"/>
    <n v="0.76"/>
    <n v="0.06"/>
  </r>
  <r>
    <x v="2"/>
    <x v="2"/>
    <x v="0"/>
    <x v="1"/>
    <x v="1"/>
    <n v="537"/>
    <n v="77.86"/>
    <n v="71.180000000000007"/>
    <n v="20"/>
    <x v="0"/>
    <n v="72.027972030000001"/>
    <n v="38223.660000000003"/>
    <n v="3587.16"/>
    <n v="3.724394786"/>
    <n v="0.86"/>
    <n v="0.19"/>
  </r>
  <r>
    <x v="4"/>
    <x v="4"/>
    <x v="1"/>
    <x v="4"/>
    <x v="1"/>
    <n v="1310"/>
    <n v="38.049999999999997"/>
    <n v="37"/>
    <n v="45"/>
    <x v="0"/>
    <n v="72.289156629999994"/>
    <n v="48470"/>
    <n v="1375.5"/>
    <n v="3.435114504"/>
    <n v="0.98"/>
    <n v="0.08"/>
  </r>
  <r>
    <x v="1"/>
    <x v="1"/>
    <x v="1"/>
    <x v="3"/>
    <x v="1"/>
    <n v="1958"/>
    <n v="95.53"/>
    <n v="91.72"/>
    <n v="308"/>
    <x v="0"/>
    <n v="70.175438600000007"/>
    <n v="179587.76"/>
    <n v="7459.98"/>
    <n v="15.73033708"/>
    <n v="0.61"/>
    <n v="0.05"/>
  </r>
  <r>
    <x v="1"/>
    <x v="1"/>
    <x v="0"/>
    <x v="0"/>
    <x v="1"/>
    <n v="946"/>
    <n v="108.6"/>
    <n v="101.78"/>
    <n v="146"/>
    <x v="0"/>
    <n v="70.175438600000007"/>
    <n v="96283.88"/>
    <n v="6451.72"/>
    <n v="15.43340381"/>
    <n v="0.61"/>
    <n v="0.11"/>
  </r>
  <r>
    <x v="3"/>
    <x v="3"/>
    <x v="0"/>
    <x v="2"/>
    <x v="2"/>
    <n v="1345"/>
    <n v="103.06"/>
    <n v="95.14"/>
    <n v="105"/>
    <x v="0"/>
    <n v="8.3333333330000006"/>
    <n v="127963.3"/>
    <n v="10652.4"/>
    <n v="7.8066914499999998"/>
    <n v="0.76"/>
    <n v="7.0000000000000007E-2"/>
  </r>
  <r>
    <x v="1"/>
    <x v="1"/>
    <x v="0"/>
    <x v="1"/>
    <x v="1"/>
    <n v="1262"/>
    <n v="56.63"/>
    <n v="51.46"/>
    <n v="155"/>
    <x v="1"/>
    <n v="70.175438600000007"/>
    <n v="64942.52"/>
    <n v="6524.54"/>
    <n v="12.282091919999999"/>
    <n v="0.39"/>
    <n v="0.08"/>
  </r>
  <r>
    <x v="3"/>
    <x v="3"/>
    <x v="1"/>
    <x v="0"/>
    <x v="3"/>
    <n v="753"/>
    <n v="88.02"/>
    <n v="79.92"/>
    <n v="75"/>
    <x v="0"/>
    <n v="12.179487180000001"/>
    <n v="60179.76"/>
    <n v="6099.3"/>
    <n v="9.9601593630000007"/>
    <n v="0.76"/>
    <n v="0.13"/>
  </r>
  <r>
    <x v="3"/>
    <x v="3"/>
    <x v="0"/>
    <x v="4"/>
    <x v="1"/>
    <n v="1520"/>
    <n v="93.75"/>
    <n v="81.63"/>
    <n v="149"/>
    <x v="0"/>
    <n v="70.512820509999997"/>
    <n v="124077.6"/>
    <n v="18422.400000000001"/>
    <n v="9.8026315789999998"/>
    <n v="0.76"/>
    <n v="7.0000000000000007E-2"/>
  </r>
  <r>
    <x v="1"/>
    <x v="1"/>
    <x v="1"/>
    <x v="0"/>
    <x v="1"/>
    <n v="630"/>
    <n v="40.270000000000003"/>
    <n v="37.54"/>
    <n v="76"/>
    <x v="0"/>
    <n v="70.175438600000007"/>
    <n v="23650.2"/>
    <n v="1719.9"/>
    <n v="12.06349206"/>
    <n v="0.61"/>
    <n v="0.16"/>
  </r>
  <r>
    <x v="1"/>
    <x v="1"/>
    <x v="1"/>
    <x v="0"/>
    <x v="1"/>
    <n v="839"/>
    <n v="86.29"/>
    <n v="82.51"/>
    <n v="110"/>
    <x v="0"/>
    <n v="70.175438600000007"/>
    <n v="69225.89"/>
    <n v="3171.42"/>
    <n v="13.11084625"/>
    <n v="0.61"/>
    <n v="0.12"/>
  </r>
  <r>
    <x v="0"/>
    <x v="0"/>
    <x v="0"/>
    <x v="4"/>
    <x v="1"/>
    <n v="910"/>
    <n v="14.33"/>
    <n v="14.07"/>
    <n v="27"/>
    <x v="0"/>
    <n v="75.886524820000005"/>
    <n v="12803.7"/>
    <n v="236.6"/>
    <n v="2.9670329670000002"/>
    <n v="0.94"/>
    <n v="0.11"/>
  </r>
  <r>
    <x v="4"/>
    <x v="4"/>
    <x v="1"/>
    <x v="3"/>
    <x v="1"/>
    <n v="296"/>
    <n v="64.94"/>
    <n v="63.61"/>
    <n v="33"/>
    <x v="0"/>
    <n v="72.289156629999994"/>
    <n v="18828.560000000001"/>
    <n v="393.68"/>
    <n v="11.14864865"/>
    <n v="0.98"/>
    <n v="0.34"/>
  </r>
  <r>
    <x v="3"/>
    <x v="3"/>
    <x v="0"/>
    <x v="1"/>
    <x v="1"/>
    <n v="1149"/>
    <n v="33"/>
    <n v="30.65"/>
    <n v="141"/>
    <x v="0"/>
    <n v="70.512820509999997"/>
    <n v="35216.85"/>
    <n v="2700.15"/>
    <n v="12.27154047"/>
    <n v="0.76"/>
    <n v="0.09"/>
  </r>
  <r>
    <x v="1"/>
    <x v="1"/>
    <x v="0"/>
    <x v="4"/>
    <x v="1"/>
    <n v="203"/>
    <n v="23.14"/>
    <n v="20"/>
    <n v="155"/>
    <x v="1"/>
    <n v="70.175438600000007"/>
    <n v="4060"/>
    <n v="637.41999999999996"/>
    <n v="76.3546798"/>
    <n v="0.39"/>
    <n v="0.49"/>
  </r>
  <r>
    <x v="4"/>
    <x v="4"/>
    <x v="0"/>
    <x v="0"/>
    <x v="1"/>
    <n v="1729"/>
    <n v="18.36"/>
    <n v="16.34"/>
    <n v="47"/>
    <x v="0"/>
    <n v="72.289156629999994"/>
    <n v="28251.86"/>
    <n v="3492.58"/>
    <n v="2.7183342970000002"/>
    <n v="0.98"/>
    <n v="0.06"/>
  </r>
  <r>
    <x v="1"/>
    <x v="1"/>
    <x v="0"/>
    <x v="0"/>
    <x v="1"/>
    <n v="1508"/>
    <n v="79.209999999999994"/>
    <n v="73.27"/>
    <n v="226"/>
    <x v="0"/>
    <n v="70.175438600000007"/>
    <n v="110491.16"/>
    <n v="8957.52"/>
    <n v="14.986737400000001"/>
    <n v="0.61"/>
    <n v="7.0000000000000007E-2"/>
  </r>
  <r>
    <x v="1"/>
    <x v="1"/>
    <x v="0"/>
    <x v="2"/>
    <x v="2"/>
    <n v="1046"/>
    <n v="44.65"/>
    <n v="40.1"/>
    <n v="165"/>
    <x v="1"/>
    <n v="10.52631579"/>
    <n v="41944.6"/>
    <n v="4759.3"/>
    <n v="15.77437859"/>
    <n v="0.39"/>
    <n v="0.1"/>
  </r>
  <r>
    <x v="0"/>
    <x v="0"/>
    <x v="1"/>
    <x v="0"/>
    <x v="1"/>
    <n v="1159"/>
    <n v="78.989999999999995"/>
    <n v="71.69"/>
    <n v="14"/>
    <x v="0"/>
    <n v="75.886524820000005"/>
    <n v="83088.710000000006"/>
    <n v="8460.7000000000007"/>
    <n v="1.207937877"/>
    <n v="0.94"/>
    <n v="0.09"/>
  </r>
  <r>
    <x v="3"/>
    <x v="3"/>
    <x v="0"/>
    <x v="4"/>
    <x v="1"/>
    <n v="746"/>
    <n v="16.989999999999998"/>
    <n v="15.35"/>
    <n v="69"/>
    <x v="1"/>
    <n v="70.512820509999997"/>
    <n v="11451.1"/>
    <n v="1223.44"/>
    <n v="9.2493297590000001"/>
    <n v="0.24"/>
    <n v="0.13"/>
  </r>
  <r>
    <x v="3"/>
    <x v="3"/>
    <x v="0"/>
    <x v="2"/>
    <x v="1"/>
    <n v="1358"/>
    <n v="42.21"/>
    <n v="38.75"/>
    <n v="128"/>
    <x v="0"/>
    <n v="70.512820509999997"/>
    <n v="52622.5"/>
    <n v="4698.68"/>
    <n v="9.4256259199999999"/>
    <n v="0.76"/>
    <n v="7.0000000000000007E-2"/>
  </r>
  <r>
    <x v="2"/>
    <x v="2"/>
    <x v="0"/>
    <x v="0"/>
    <x v="1"/>
    <n v="1293"/>
    <n v="63.53"/>
    <n v="59.42"/>
    <n v="79"/>
    <x v="0"/>
    <n v="72.027972030000001"/>
    <n v="76830.06"/>
    <n v="5314.23"/>
    <n v="6.1098221190000004"/>
    <n v="0.86"/>
    <n v="0.08"/>
  </r>
  <r>
    <x v="0"/>
    <x v="0"/>
    <x v="0"/>
    <x v="4"/>
    <x v="1"/>
    <n v="1142"/>
    <n v="86.85"/>
    <n v="74.28"/>
    <n v="30"/>
    <x v="0"/>
    <n v="75.886524820000005"/>
    <n v="84827.76"/>
    <n v="14354.94"/>
    <n v="2.6269702279999998"/>
    <n v="0.94"/>
    <n v="0.09"/>
  </r>
  <r>
    <x v="4"/>
    <x v="4"/>
    <x v="0"/>
    <x v="1"/>
    <x v="1"/>
    <n v="1120"/>
    <n v="42.17"/>
    <n v="37.47"/>
    <n v="33"/>
    <x v="0"/>
    <n v="72.289156629999994"/>
    <n v="41966.400000000001"/>
    <n v="5264"/>
    <n v="2.9464285710000002"/>
    <n v="0.98"/>
    <n v="0.09"/>
  </r>
  <r>
    <x v="0"/>
    <x v="0"/>
    <x v="0"/>
    <x v="1"/>
    <x v="1"/>
    <n v="1058"/>
    <n v="71.3"/>
    <n v="62.04"/>
    <n v="24"/>
    <x v="0"/>
    <n v="75.886524820000005"/>
    <n v="65638.320000000007"/>
    <n v="9797.08"/>
    <n v="2.2684310019999998"/>
    <n v="0.94"/>
    <n v="0.09"/>
  </r>
  <r>
    <x v="4"/>
    <x v="4"/>
    <x v="1"/>
    <x v="0"/>
    <x v="1"/>
    <n v="143"/>
    <n v="91.98"/>
    <n v="86.02"/>
    <n v="5"/>
    <x v="0"/>
    <n v="72.289156629999994"/>
    <n v="12300.86"/>
    <n v="852.28"/>
    <n v="3.496503497"/>
    <n v="0.98"/>
    <n v="0.7"/>
  </r>
  <r>
    <x v="3"/>
    <x v="3"/>
    <x v="0"/>
    <x v="1"/>
    <x v="1"/>
    <n v="1823"/>
    <n v="70.66"/>
    <n v="66.92"/>
    <n v="202"/>
    <x v="0"/>
    <n v="70.512820509999997"/>
    <n v="121995.16"/>
    <n v="6818.02"/>
    <n v="11.080636309999999"/>
    <n v="0.76"/>
    <n v="0.05"/>
  </r>
  <r>
    <x v="2"/>
    <x v="2"/>
    <x v="0"/>
    <x v="0"/>
    <x v="1"/>
    <n v="1007"/>
    <n v="33.29"/>
    <n v="28.48"/>
    <n v="49"/>
    <x v="0"/>
    <n v="72.027972030000001"/>
    <n v="28679.360000000001"/>
    <n v="4843.67"/>
    <n v="4.865938431"/>
    <n v="0.86"/>
    <n v="0.1"/>
  </r>
  <r>
    <x v="2"/>
    <x v="2"/>
    <x v="1"/>
    <x v="2"/>
    <x v="1"/>
    <n v="1061"/>
    <n v="12.68"/>
    <n v="12.36"/>
    <n v="56"/>
    <x v="1"/>
    <n v="72.027972030000001"/>
    <n v="13113.96"/>
    <n v="339.52"/>
    <n v="5.2780395850000001"/>
    <n v="0.14000000000000001"/>
    <n v="0.09"/>
  </r>
  <r>
    <x v="3"/>
    <x v="3"/>
    <x v="1"/>
    <x v="1"/>
    <x v="3"/>
    <n v="502"/>
    <n v="91.84"/>
    <n v="82.33"/>
    <n v="105"/>
    <x v="0"/>
    <n v="12.179487180000001"/>
    <n v="41329.660000000003"/>
    <n v="4774.0200000000004"/>
    <n v="20.91633466"/>
    <n v="0.76"/>
    <n v="0.2"/>
  </r>
  <r>
    <x v="1"/>
    <x v="1"/>
    <x v="0"/>
    <x v="2"/>
    <x v="1"/>
    <n v="1277"/>
    <n v="13.17"/>
    <n v="11.63"/>
    <n v="199"/>
    <x v="1"/>
    <n v="70.175438600000007"/>
    <n v="14851.51"/>
    <n v="1966.58"/>
    <n v="15.58339859"/>
    <n v="0.39"/>
    <n v="0.08"/>
  </r>
  <r>
    <x v="0"/>
    <x v="0"/>
    <x v="1"/>
    <x v="2"/>
    <x v="1"/>
    <n v="961"/>
    <n v="92.72"/>
    <n v="88.49"/>
    <n v="22"/>
    <x v="0"/>
    <n v="75.886524820000005"/>
    <n v="85038.89"/>
    <n v="4065.03"/>
    <n v="2.2892819979999999"/>
    <n v="0.94"/>
    <n v="0.1"/>
  </r>
  <r>
    <x v="2"/>
    <x v="2"/>
    <x v="0"/>
    <x v="2"/>
    <x v="1"/>
    <n v="267"/>
    <n v="62.5"/>
    <n v="61.18"/>
    <n v="17"/>
    <x v="0"/>
    <n v="72.027972030000001"/>
    <n v="16335.06"/>
    <n v="352.44"/>
    <n v="6.367041199"/>
    <n v="0.86"/>
    <n v="0.37"/>
  </r>
  <r>
    <x v="1"/>
    <x v="1"/>
    <x v="0"/>
    <x v="3"/>
    <x v="0"/>
    <n v="523"/>
    <n v="102.08"/>
    <n v="99.59"/>
    <n v="155"/>
    <x v="0"/>
    <n v="9.3567251460000005"/>
    <n v="52085.57"/>
    <n v="1302.27"/>
    <n v="29.63671128"/>
    <n v="0.61"/>
    <n v="0.19"/>
  </r>
  <r>
    <x v="4"/>
    <x v="4"/>
    <x v="0"/>
    <x v="4"/>
    <x v="3"/>
    <n v="481"/>
    <n v="90.49"/>
    <n v="77.17"/>
    <n v="33"/>
    <x v="0"/>
    <n v="10.843373489999999"/>
    <n v="37118.769999999997"/>
    <n v="6406.92"/>
    <n v="6.8607068609999997"/>
    <n v="0.98"/>
    <n v="0.21"/>
  </r>
  <r>
    <x v="2"/>
    <x v="2"/>
    <x v="1"/>
    <x v="0"/>
    <x v="1"/>
    <n v="390"/>
    <n v="103.81"/>
    <n v="100.12"/>
    <n v="20"/>
    <x v="0"/>
    <n v="72.027972030000001"/>
    <n v="39046.800000000003"/>
    <n v="1439.1"/>
    <n v="5.1282051280000003"/>
    <n v="0.86"/>
    <n v="0.26"/>
  </r>
  <r>
    <x v="4"/>
    <x v="4"/>
    <x v="1"/>
    <x v="2"/>
    <x v="1"/>
    <n v="600"/>
    <n v="43.43"/>
    <n v="38.76"/>
    <n v="22"/>
    <x v="0"/>
    <n v="72.289156629999994"/>
    <n v="23256"/>
    <n v="2802"/>
    <n v="3.6666666669999999"/>
    <n v="0.98"/>
    <n v="0.17"/>
  </r>
  <r>
    <x v="1"/>
    <x v="1"/>
    <x v="0"/>
    <x v="0"/>
    <x v="1"/>
    <n v="1685"/>
    <n v="84.58"/>
    <n v="75.209999999999994"/>
    <n v="253"/>
    <x v="1"/>
    <n v="70.175438600000007"/>
    <n v="126728.85"/>
    <n v="15788.45"/>
    <n v="15.014836799999999"/>
    <n v="0.39"/>
    <n v="0.06"/>
  </r>
  <r>
    <x v="4"/>
    <x v="4"/>
    <x v="1"/>
    <x v="2"/>
    <x v="0"/>
    <n v="1362"/>
    <n v="46.64"/>
    <n v="42.85"/>
    <n v="33"/>
    <x v="0"/>
    <n v="8.4337349400000008"/>
    <n v="58361.7"/>
    <n v="5161.9799999999996"/>
    <n v="2.422907489"/>
    <n v="0.98"/>
    <n v="7.0000000000000007E-2"/>
  </r>
  <r>
    <x v="1"/>
    <x v="1"/>
    <x v="2"/>
    <x v="4"/>
    <x v="3"/>
    <n v="1327"/>
    <n v="59.57"/>
    <n v="56.44"/>
    <n v="169"/>
    <x v="0"/>
    <n v="9.9415204680000002"/>
    <n v="74895.88"/>
    <n v="4153.51"/>
    <n v="12.735493590000001"/>
    <n v="0.61"/>
    <n v="0.08"/>
  </r>
  <r>
    <x v="4"/>
    <x v="4"/>
    <x v="1"/>
    <x v="1"/>
    <x v="1"/>
    <n v="1807"/>
    <n v="69.47"/>
    <n v="60"/>
    <n v="50"/>
    <x v="0"/>
    <n v="72.289156629999994"/>
    <n v="108420"/>
    <n v="17112.29"/>
    <n v="2.7670171560000001"/>
    <n v="0.98"/>
    <n v="0.06"/>
  </r>
  <r>
    <x v="0"/>
    <x v="0"/>
    <x v="1"/>
    <x v="0"/>
    <x v="3"/>
    <n v="406"/>
    <n v="91.73"/>
    <n v="89.13"/>
    <n v="24"/>
    <x v="0"/>
    <n v="7.80141844"/>
    <n v="36186.78"/>
    <n v="1055.5999999999999"/>
    <n v="5.911330049"/>
    <n v="0.94"/>
    <n v="0.25"/>
  </r>
  <r>
    <x v="2"/>
    <x v="2"/>
    <x v="1"/>
    <x v="3"/>
    <x v="2"/>
    <n v="72"/>
    <n v="103"/>
    <n v="89.49"/>
    <n v="1"/>
    <x v="1"/>
    <n v="12.58741259"/>
    <n v="6443.28"/>
    <n v="972.72"/>
    <n v="1.388888889"/>
    <n v="0.14000000000000001"/>
    <n v="1.39"/>
  </r>
  <r>
    <x v="2"/>
    <x v="2"/>
    <x v="1"/>
    <x v="0"/>
    <x v="1"/>
    <n v="1835"/>
    <n v="83.5"/>
    <n v="82.36"/>
    <n v="85"/>
    <x v="1"/>
    <n v="72.027972030000001"/>
    <n v="151130.6"/>
    <n v="2091.9"/>
    <n v="4.6321525890000004"/>
    <n v="0.14000000000000001"/>
    <n v="0.05"/>
  </r>
  <r>
    <x v="1"/>
    <x v="1"/>
    <x v="1"/>
    <x v="4"/>
    <x v="3"/>
    <n v="571"/>
    <n v="49.98"/>
    <n v="45.58"/>
    <n v="155"/>
    <x v="1"/>
    <n v="9.9415204680000002"/>
    <n v="26026.18"/>
    <n v="2512.4"/>
    <n v="27.145359020000001"/>
    <n v="0.39"/>
    <n v="0.18"/>
  </r>
  <r>
    <x v="4"/>
    <x v="4"/>
    <x v="0"/>
    <x v="2"/>
    <x v="1"/>
    <n v="1831"/>
    <n v="52.24"/>
    <n v="50.44"/>
    <n v="60"/>
    <x v="0"/>
    <n v="72.289156629999994"/>
    <n v="92355.64"/>
    <n v="3295.8"/>
    <n v="3.27689787"/>
    <n v="0.98"/>
    <n v="0.05"/>
  </r>
  <r>
    <x v="3"/>
    <x v="3"/>
    <x v="1"/>
    <x v="0"/>
    <x v="3"/>
    <n v="1910"/>
    <n v="77.150000000000006"/>
    <n v="68.489999999999995"/>
    <n v="170"/>
    <x v="0"/>
    <n v="12.179487180000001"/>
    <n v="130815.9"/>
    <n v="16540.599999999999"/>
    <n v="8.9005235599999999"/>
    <n v="0.76"/>
    <n v="0.05"/>
  </r>
  <r>
    <x v="2"/>
    <x v="2"/>
    <x v="1"/>
    <x v="4"/>
    <x v="2"/>
    <n v="1173"/>
    <n v="32.119999999999997"/>
    <n v="29.18"/>
    <n v="55"/>
    <x v="0"/>
    <n v="12.58741259"/>
    <n v="34228.14"/>
    <n v="3448.62"/>
    <n v="4.6888320549999998"/>
    <n v="0.86"/>
    <n v="0.09"/>
  </r>
  <r>
    <x v="4"/>
    <x v="4"/>
    <x v="1"/>
    <x v="2"/>
    <x v="2"/>
    <n v="851"/>
    <n v="20.440000000000001"/>
    <n v="19.22"/>
    <n v="22"/>
    <x v="0"/>
    <n v="8.4337349400000008"/>
    <n v="16356.22"/>
    <n v="1038.22"/>
    <n v="2.5851938900000002"/>
    <n v="0.98"/>
    <n v="0.12"/>
  </r>
  <r>
    <x v="4"/>
    <x v="4"/>
    <x v="1"/>
    <x v="1"/>
    <x v="0"/>
    <n v="1253"/>
    <n v="43.38"/>
    <n v="38.01"/>
    <n v="34"/>
    <x v="0"/>
    <n v="8.4337349400000008"/>
    <n v="47626.53"/>
    <n v="6728.61"/>
    <n v="2.7134876299999999"/>
    <n v="0.98"/>
    <n v="0.08"/>
  </r>
  <r>
    <x v="0"/>
    <x v="0"/>
    <x v="0"/>
    <x v="4"/>
    <x v="1"/>
    <n v="1296"/>
    <n v="38"/>
    <n v="33.42"/>
    <n v="33"/>
    <x v="0"/>
    <n v="75.886524820000005"/>
    <n v="43312.32"/>
    <n v="5935.68"/>
    <n v="2.546296296"/>
    <n v="0.94"/>
    <n v="0.08"/>
  </r>
  <r>
    <x v="3"/>
    <x v="3"/>
    <x v="0"/>
    <x v="3"/>
    <x v="1"/>
    <n v="1979"/>
    <n v="40.880000000000003"/>
    <n v="39.46"/>
    <n v="221"/>
    <x v="0"/>
    <n v="70.512820509999997"/>
    <n v="78091.34"/>
    <n v="2810.18"/>
    <n v="11.16725619"/>
    <n v="0.76"/>
    <n v="0.05"/>
  </r>
  <r>
    <x v="2"/>
    <x v="2"/>
    <x v="1"/>
    <x v="0"/>
    <x v="1"/>
    <n v="811"/>
    <n v="31.8"/>
    <n v="30.33"/>
    <n v="58"/>
    <x v="0"/>
    <n v="72.027972030000001"/>
    <n v="24597.63"/>
    <n v="1192.17"/>
    <n v="7.1516646120000003"/>
    <n v="0.86"/>
    <n v="0.12"/>
  </r>
  <r>
    <x v="0"/>
    <x v="0"/>
    <x v="0"/>
    <x v="4"/>
    <x v="1"/>
    <n v="1732"/>
    <n v="15.37"/>
    <n v="14.7"/>
    <n v="38"/>
    <x v="0"/>
    <n v="75.886524820000005"/>
    <n v="25460.400000000001"/>
    <n v="1160.44"/>
    <n v="2.1939953810000001"/>
    <n v="0.94"/>
    <n v="0.06"/>
  </r>
  <r>
    <x v="3"/>
    <x v="3"/>
    <x v="1"/>
    <x v="2"/>
    <x v="1"/>
    <n v="491"/>
    <n v="12.01"/>
    <n v="11.67"/>
    <n v="47"/>
    <x v="0"/>
    <n v="70.512820509999997"/>
    <n v="5729.97"/>
    <n v="166.94"/>
    <n v="9.5723014259999992"/>
    <n v="0.76"/>
    <n v="0.2"/>
  </r>
  <r>
    <x v="2"/>
    <x v="2"/>
    <x v="1"/>
    <x v="2"/>
    <x v="0"/>
    <n v="1681"/>
    <n v="99.88"/>
    <n v="96.38"/>
    <n v="90"/>
    <x v="0"/>
    <n v="4.1958041960000001"/>
    <n v="162014.78"/>
    <n v="5883.5"/>
    <n v="5.3539559790000002"/>
    <n v="0.86"/>
    <n v="0.06"/>
  </r>
  <r>
    <x v="0"/>
    <x v="0"/>
    <x v="0"/>
    <x v="3"/>
    <x v="2"/>
    <n v="818"/>
    <n v="51.89"/>
    <n v="47.85"/>
    <n v="12"/>
    <x v="0"/>
    <n v="7.092198582"/>
    <n v="39141.300000000003"/>
    <n v="3304.72"/>
    <n v="1.466992665"/>
    <n v="0.94"/>
    <n v="0.12"/>
  </r>
  <r>
    <x v="3"/>
    <x v="3"/>
    <x v="0"/>
    <x v="0"/>
    <x v="1"/>
    <n v="1065"/>
    <n v="47.49"/>
    <n v="41.42"/>
    <n v="113"/>
    <x v="0"/>
    <n v="70.512820509999997"/>
    <n v="44112.3"/>
    <n v="6464.55"/>
    <n v="10.610328640000001"/>
    <n v="0.76"/>
    <n v="0.09"/>
  </r>
  <r>
    <x v="2"/>
    <x v="2"/>
    <x v="1"/>
    <x v="2"/>
    <x v="1"/>
    <n v="1398"/>
    <n v="75.08"/>
    <n v="67.09"/>
    <n v="57"/>
    <x v="0"/>
    <n v="72.027972030000001"/>
    <n v="93791.82"/>
    <n v="11170.02"/>
    <n v="4.0772532190000002"/>
    <n v="0.86"/>
    <n v="7.0000000000000007E-2"/>
  </r>
  <r>
    <x v="3"/>
    <x v="3"/>
    <x v="0"/>
    <x v="2"/>
    <x v="1"/>
    <n v="565"/>
    <n v="32.31"/>
    <n v="29.76"/>
    <n v="60"/>
    <x v="0"/>
    <n v="70.512820509999997"/>
    <n v="16814.400000000001"/>
    <n v="1440.75"/>
    <n v="10.619469029999999"/>
    <n v="0.76"/>
    <n v="0.18"/>
  </r>
  <r>
    <x v="4"/>
    <x v="4"/>
    <x v="0"/>
    <x v="2"/>
    <x v="3"/>
    <n v="1089"/>
    <n v="102.66"/>
    <n v="89.21"/>
    <n v="33"/>
    <x v="0"/>
    <n v="10.843373489999999"/>
    <n v="97149.69"/>
    <n v="14647.05"/>
    <n v="3.0303030299999998"/>
    <n v="0.98"/>
    <n v="0.09"/>
  </r>
  <r>
    <x v="1"/>
    <x v="1"/>
    <x v="0"/>
    <x v="4"/>
    <x v="1"/>
    <n v="841"/>
    <n v="86.43"/>
    <n v="83.77"/>
    <n v="125"/>
    <x v="1"/>
    <n v="70.175438600000007"/>
    <n v="70450.570000000007"/>
    <n v="2237.06"/>
    <n v="14.863258030000001"/>
    <n v="0.39"/>
    <n v="0.12"/>
  </r>
  <r>
    <x v="1"/>
    <x v="1"/>
    <x v="1"/>
    <x v="4"/>
    <x v="1"/>
    <n v="385"/>
    <n v="18.23"/>
    <n v="17.739999999999998"/>
    <n v="155"/>
    <x v="0"/>
    <n v="70.175438600000007"/>
    <n v="6829.9"/>
    <n v="188.65"/>
    <n v="40.259740260000001"/>
    <n v="0.61"/>
    <n v="0.26"/>
  </r>
  <r>
    <x v="4"/>
    <x v="4"/>
    <x v="1"/>
    <x v="0"/>
    <x v="1"/>
    <n v="1832"/>
    <n v="49.01"/>
    <n v="41.86"/>
    <n v="52"/>
    <x v="0"/>
    <n v="72.289156629999994"/>
    <n v="76687.520000000004"/>
    <n v="13098.8"/>
    <n v="2.8384279480000001"/>
    <n v="0.98"/>
    <n v="0.05"/>
  </r>
  <r>
    <x v="3"/>
    <x v="3"/>
    <x v="0"/>
    <x v="3"/>
    <x v="1"/>
    <n v="307"/>
    <n v="95.36"/>
    <n v="83.63"/>
    <n v="29"/>
    <x v="0"/>
    <n v="70.512820509999997"/>
    <n v="25674.41"/>
    <n v="3601.11"/>
    <n v="9.4462540720000003"/>
    <n v="0.76"/>
    <n v="0.33"/>
  </r>
  <r>
    <x v="4"/>
    <x v="4"/>
    <x v="0"/>
    <x v="0"/>
    <x v="1"/>
    <n v="546"/>
    <n v="101.2"/>
    <n v="97.82"/>
    <n v="21"/>
    <x v="0"/>
    <n v="72.289156629999994"/>
    <n v="53409.72"/>
    <n v="1845.48"/>
    <n v="3.846153846"/>
    <n v="0.98"/>
    <n v="0.18"/>
  </r>
  <r>
    <x v="1"/>
    <x v="1"/>
    <x v="0"/>
    <x v="3"/>
    <x v="1"/>
    <n v="945"/>
    <n v="57.01"/>
    <n v="55.14"/>
    <n v="147"/>
    <x v="1"/>
    <n v="70.175438600000007"/>
    <n v="52107.3"/>
    <n v="1767.15"/>
    <n v="15.55555556"/>
    <n v="0.39"/>
    <n v="0.11"/>
  </r>
  <r>
    <x v="1"/>
    <x v="1"/>
    <x v="0"/>
    <x v="1"/>
    <x v="3"/>
    <n v="209"/>
    <n v="72.709999999999994"/>
    <n v="64.34"/>
    <n v="39"/>
    <x v="0"/>
    <n v="9.9415204680000002"/>
    <n v="13447.06"/>
    <n v="1749.33"/>
    <n v="18.66028708"/>
    <n v="0.61"/>
    <n v="0.48"/>
  </r>
  <r>
    <x v="3"/>
    <x v="3"/>
    <x v="1"/>
    <x v="2"/>
    <x v="1"/>
    <n v="1548"/>
    <n v="25.03"/>
    <n v="22.87"/>
    <n v="105"/>
    <x v="0"/>
    <n v="70.512820509999997"/>
    <n v="35402.76"/>
    <n v="3343.68"/>
    <n v="6.7829457360000003"/>
    <n v="0.76"/>
    <n v="0.06"/>
  </r>
  <r>
    <x v="1"/>
    <x v="1"/>
    <x v="0"/>
    <x v="3"/>
    <x v="1"/>
    <n v="901"/>
    <n v="108.63"/>
    <n v="106.3"/>
    <n v="141"/>
    <x v="0"/>
    <n v="70.175438600000007"/>
    <n v="95776.3"/>
    <n v="2099.33"/>
    <n v="15.649278580000001"/>
    <n v="0.61"/>
    <n v="0.11"/>
  </r>
  <r>
    <x v="4"/>
    <x v="4"/>
    <x v="0"/>
    <x v="2"/>
    <x v="1"/>
    <n v="1737"/>
    <n v="32.700000000000003"/>
    <n v="31.02"/>
    <n v="48"/>
    <x v="0"/>
    <n v="72.289156629999994"/>
    <n v="53881.74"/>
    <n v="2918.16"/>
    <n v="2.7633851470000002"/>
    <n v="0.98"/>
    <n v="0.06"/>
  </r>
  <r>
    <x v="3"/>
    <x v="3"/>
    <x v="0"/>
    <x v="3"/>
    <x v="1"/>
    <n v="1981"/>
    <n v="102.43"/>
    <n v="90.99"/>
    <n v="204"/>
    <x v="0"/>
    <n v="70.512820509999997"/>
    <n v="180251.19"/>
    <n v="22662.639999999999"/>
    <n v="10.29782938"/>
    <n v="0.76"/>
    <n v="0.05"/>
  </r>
  <r>
    <x v="4"/>
    <x v="4"/>
    <x v="1"/>
    <x v="1"/>
    <x v="3"/>
    <n v="739"/>
    <n v="68.47"/>
    <n v="66.09"/>
    <n v="19"/>
    <x v="0"/>
    <n v="10.843373489999999"/>
    <n v="48840.51"/>
    <n v="1758.82"/>
    <n v="2.571041949"/>
    <n v="0.98"/>
    <n v="0.14000000000000001"/>
  </r>
  <r>
    <x v="3"/>
    <x v="3"/>
    <x v="1"/>
    <x v="3"/>
    <x v="1"/>
    <n v="1748"/>
    <n v="68.25"/>
    <n v="62.84"/>
    <n v="171"/>
    <x v="0"/>
    <n v="70.512820509999997"/>
    <n v="109844.32"/>
    <n v="9456.68"/>
    <n v="9.7826086960000005"/>
    <n v="0.76"/>
    <n v="0.06"/>
  </r>
  <r>
    <x v="1"/>
    <x v="1"/>
    <x v="1"/>
    <x v="0"/>
    <x v="0"/>
    <n v="429"/>
    <n v="58.95"/>
    <n v="55.35"/>
    <n v="59"/>
    <x v="1"/>
    <n v="9.3567251460000005"/>
    <n v="23745.15"/>
    <n v="1544.4"/>
    <n v="13.752913749999999"/>
    <n v="0.39"/>
    <n v="0.23"/>
  </r>
  <r>
    <x v="2"/>
    <x v="2"/>
    <x v="0"/>
    <x v="4"/>
    <x v="1"/>
    <n v="1618"/>
    <n v="32.76"/>
    <n v="28.41"/>
    <n v="62"/>
    <x v="0"/>
    <n v="72.027972030000001"/>
    <n v="45967.38"/>
    <n v="7038.3"/>
    <n v="3.831891224"/>
    <n v="0.86"/>
    <n v="0.06"/>
  </r>
  <r>
    <x v="3"/>
    <x v="3"/>
    <x v="0"/>
    <x v="2"/>
    <x v="1"/>
    <n v="1006"/>
    <n v="27.7"/>
    <n v="23.66"/>
    <n v="101"/>
    <x v="1"/>
    <n v="70.512820509999997"/>
    <n v="23801.96"/>
    <n v="4064.24"/>
    <n v="10.03976143"/>
    <n v="0.24"/>
    <n v="0.1"/>
  </r>
  <r>
    <x v="3"/>
    <x v="3"/>
    <x v="0"/>
    <x v="4"/>
    <x v="2"/>
    <n v="740"/>
    <n v="32.53"/>
    <n v="29.35"/>
    <n v="84"/>
    <x v="0"/>
    <n v="8.3333333330000006"/>
    <n v="21719"/>
    <n v="2353.1999999999998"/>
    <n v="11.35135135"/>
    <n v="0.76"/>
    <n v="0.14000000000000001"/>
  </r>
  <r>
    <x v="2"/>
    <x v="2"/>
    <x v="0"/>
    <x v="3"/>
    <x v="1"/>
    <n v="1500"/>
    <n v="29.19"/>
    <n v="27.24"/>
    <n v="72"/>
    <x v="0"/>
    <n v="72.027972030000001"/>
    <n v="40860"/>
    <n v="2925"/>
    <n v="4.8"/>
    <n v="0.86"/>
    <n v="7.0000000000000007E-2"/>
  </r>
  <r>
    <x v="1"/>
    <x v="1"/>
    <x v="0"/>
    <x v="0"/>
    <x v="0"/>
    <n v="1686"/>
    <n v="88.18"/>
    <n v="77.150000000000006"/>
    <n v="155"/>
    <x v="0"/>
    <n v="9.3567251460000005"/>
    <n v="130074.9"/>
    <n v="18596.580000000002"/>
    <n v="9.1933570580000001"/>
    <n v="0.61"/>
    <n v="0.06"/>
  </r>
  <r>
    <x v="4"/>
    <x v="4"/>
    <x v="1"/>
    <x v="3"/>
    <x v="0"/>
    <n v="1341"/>
    <n v="42.96"/>
    <n v="41.75"/>
    <n v="39"/>
    <x v="0"/>
    <n v="8.4337349400000008"/>
    <n v="55986.75"/>
    <n v="1622.61"/>
    <n v="2.9082774050000002"/>
    <n v="0.98"/>
    <n v="7.0000000000000007E-2"/>
  </r>
  <r>
    <x v="0"/>
    <x v="0"/>
    <x v="0"/>
    <x v="1"/>
    <x v="0"/>
    <n v="1908"/>
    <n v="16.420000000000002"/>
    <n v="15.31"/>
    <n v="36"/>
    <x v="0"/>
    <n v="9.2198581560000008"/>
    <n v="29211.48"/>
    <n v="2117.88"/>
    <n v="1.886792453"/>
    <n v="0.94"/>
    <n v="0.05"/>
  </r>
  <r>
    <x v="2"/>
    <x v="2"/>
    <x v="1"/>
    <x v="1"/>
    <x v="2"/>
    <n v="1650"/>
    <n v="100.62"/>
    <n v="90.45"/>
    <n v="85"/>
    <x v="0"/>
    <n v="12.58741259"/>
    <n v="149242.5"/>
    <n v="16780.5"/>
    <n v="5.151515152"/>
    <n v="0.86"/>
    <n v="0.06"/>
  </r>
  <r>
    <x v="0"/>
    <x v="0"/>
    <x v="1"/>
    <x v="1"/>
    <x v="1"/>
    <n v="1490"/>
    <n v="93.57"/>
    <n v="81.680000000000007"/>
    <n v="29"/>
    <x v="0"/>
    <n v="75.886524820000005"/>
    <n v="121703.2"/>
    <n v="17716.099999999999"/>
    <n v="1.946308725"/>
    <n v="0.94"/>
    <n v="7.0000000000000007E-2"/>
  </r>
  <r>
    <x v="1"/>
    <x v="1"/>
    <x v="0"/>
    <x v="3"/>
    <x v="1"/>
    <n v="1241"/>
    <n v="100.04"/>
    <n v="97.56"/>
    <n v="187"/>
    <x v="0"/>
    <n v="70.175438600000007"/>
    <n v="121071.96"/>
    <n v="3077.68"/>
    <n v="15.06849315"/>
    <n v="0.61"/>
    <n v="0.08"/>
  </r>
  <r>
    <x v="3"/>
    <x v="3"/>
    <x v="0"/>
    <x v="1"/>
    <x v="1"/>
    <n v="1915"/>
    <n v="107.51"/>
    <n v="102.66"/>
    <n v="184"/>
    <x v="0"/>
    <n v="70.512820509999997"/>
    <n v="196593.9"/>
    <n v="9287.75"/>
    <n v="9.608355091"/>
    <n v="0.76"/>
    <n v="0.05"/>
  </r>
  <r>
    <x v="3"/>
    <x v="3"/>
    <x v="1"/>
    <x v="3"/>
    <x v="1"/>
    <n v="1116"/>
    <n v="25.65"/>
    <n v="24.28"/>
    <n v="121"/>
    <x v="0"/>
    <n v="70.512820509999997"/>
    <n v="27096.48"/>
    <n v="1528.92"/>
    <n v="10.84229391"/>
    <n v="0.76"/>
    <n v="0.09"/>
  </r>
  <r>
    <x v="1"/>
    <x v="1"/>
    <x v="0"/>
    <x v="3"/>
    <x v="1"/>
    <n v="1629"/>
    <n v="48.63"/>
    <n v="43.28"/>
    <n v="260"/>
    <x v="0"/>
    <n v="70.175438600000007"/>
    <n v="70503.12"/>
    <n v="8715.15"/>
    <n v="15.960712089999999"/>
    <n v="0.61"/>
    <n v="0.06"/>
  </r>
  <r>
    <x v="4"/>
    <x v="4"/>
    <x v="1"/>
    <x v="0"/>
    <x v="1"/>
    <n v="334"/>
    <n v="82.54"/>
    <n v="74.63"/>
    <n v="33"/>
    <x v="0"/>
    <n v="72.289156629999994"/>
    <n v="24926.42"/>
    <n v="2641.94"/>
    <n v="9.880239521"/>
    <n v="0.98"/>
    <n v="0.3"/>
  </r>
  <r>
    <x v="4"/>
    <x v="4"/>
    <x v="0"/>
    <x v="2"/>
    <x v="1"/>
    <n v="446"/>
    <n v="80.63"/>
    <n v="70.37"/>
    <n v="33"/>
    <x v="0"/>
    <n v="72.289156629999994"/>
    <n v="31385.02"/>
    <n v="4575.96"/>
    <n v="7.3991031390000002"/>
    <n v="0.98"/>
    <n v="0.22"/>
  </r>
  <r>
    <x v="1"/>
    <x v="1"/>
    <x v="0"/>
    <x v="4"/>
    <x v="1"/>
    <n v="61"/>
    <n v="26.47"/>
    <n v="24.62"/>
    <n v="6"/>
    <x v="0"/>
    <n v="70.175438600000007"/>
    <n v="1501.82"/>
    <n v="112.85"/>
    <n v="9.8360655739999991"/>
    <n v="0.61"/>
    <n v="1.64"/>
  </r>
  <r>
    <x v="1"/>
    <x v="1"/>
    <x v="0"/>
    <x v="2"/>
    <x v="1"/>
    <n v="1680"/>
    <n v="88.85"/>
    <n v="87.53"/>
    <n v="155"/>
    <x v="0"/>
    <n v="70.175438600000007"/>
    <n v="147050.4"/>
    <n v="2217.6"/>
    <n v="9.2261904759999993"/>
    <n v="0.61"/>
    <n v="0.06"/>
  </r>
  <r>
    <x v="1"/>
    <x v="1"/>
    <x v="1"/>
    <x v="4"/>
    <x v="1"/>
    <n v="1375"/>
    <n v="30.95"/>
    <n v="30.02"/>
    <n v="223"/>
    <x v="0"/>
    <n v="70.175438600000007"/>
    <n v="41277.5"/>
    <n v="1278.75"/>
    <n v="16.218181820000002"/>
    <n v="0.61"/>
    <n v="7.0000000000000007E-2"/>
  </r>
  <r>
    <x v="1"/>
    <x v="1"/>
    <x v="0"/>
    <x v="4"/>
    <x v="2"/>
    <n v="1971"/>
    <n v="32.4"/>
    <n v="30.48"/>
    <n v="321"/>
    <x v="0"/>
    <n v="10.52631579"/>
    <n v="60076.08"/>
    <n v="3784.32"/>
    <n v="16.286149160000001"/>
    <n v="0.61"/>
    <n v="0.05"/>
  </r>
  <r>
    <x v="1"/>
    <x v="1"/>
    <x v="1"/>
    <x v="3"/>
    <x v="3"/>
    <n v="1326"/>
    <n v="59.49"/>
    <n v="56.21"/>
    <n v="155"/>
    <x v="0"/>
    <n v="9.9415204680000002"/>
    <n v="74534.460000000006"/>
    <n v="4349.28"/>
    <n v="11.6892911"/>
    <n v="0.61"/>
    <n v="0.08"/>
  </r>
  <r>
    <x v="1"/>
    <x v="1"/>
    <x v="0"/>
    <x v="1"/>
    <x v="0"/>
    <n v="548"/>
    <n v="69.7"/>
    <n v="61.87"/>
    <n v="90"/>
    <x v="0"/>
    <n v="9.3567251460000005"/>
    <n v="33904.76"/>
    <n v="4290.84"/>
    <n v="16.423357660000001"/>
    <n v="0.61"/>
    <n v="0.18"/>
  </r>
  <r>
    <x v="3"/>
    <x v="3"/>
    <x v="0"/>
    <x v="1"/>
    <x v="1"/>
    <n v="803"/>
    <n v="67.81"/>
    <n v="61.53"/>
    <n v="78"/>
    <x v="0"/>
    <n v="70.512820509999997"/>
    <n v="49408.59"/>
    <n v="5042.84"/>
    <n v="9.7135740970000004"/>
    <n v="0.76"/>
    <n v="0.12"/>
  </r>
  <r>
    <x v="0"/>
    <x v="0"/>
    <x v="1"/>
    <x v="1"/>
    <x v="1"/>
    <n v="84"/>
    <n v="18.23"/>
    <n v="15.55"/>
    <n v="0"/>
    <x v="0"/>
    <n v="75.886524820000005"/>
    <n v="1306.2"/>
    <n v="225.12"/>
    <n v="0"/>
    <n v="0.94"/>
    <n v="1.19"/>
  </r>
  <r>
    <x v="4"/>
    <x v="4"/>
    <x v="0"/>
    <x v="2"/>
    <x v="1"/>
    <n v="776"/>
    <n v="94.75"/>
    <n v="90.89"/>
    <n v="19"/>
    <x v="0"/>
    <n v="72.289156629999994"/>
    <n v="70530.64"/>
    <n v="2995.36"/>
    <n v="2.4484536079999999"/>
    <n v="0.98"/>
    <n v="0.13"/>
  </r>
  <r>
    <x v="0"/>
    <x v="0"/>
    <x v="0"/>
    <x v="1"/>
    <x v="1"/>
    <n v="898"/>
    <n v="37.119999999999997"/>
    <n v="35.54"/>
    <n v="18"/>
    <x v="1"/>
    <n v="75.886524820000005"/>
    <n v="31914.92"/>
    <n v="1418.84"/>
    <n v="2.0044543429999999"/>
    <n v="0.06"/>
    <n v="0.11"/>
  </r>
  <r>
    <x v="3"/>
    <x v="3"/>
    <x v="0"/>
    <x v="0"/>
    <x v="0"/>
    <n v="139"/>
    <n v="23.71"/>
    <n v="20.18"/>
    <n v="14"/>
    <x v="0"/>
    <n v="8.9743589739999994"/>
    <n v="2805.02"/>
    <n v="490.67"/>
    <n v="10.07194245"/>
    <n v="0.76"/>
    <n v="0.72"/>
  </r>
  <r>
    <x v="2"/>
    <x v="2"/>
    <x v="0"/>
    <x v="3"/>
    <x v="1"/>
    <n v="825"/>
    <n v="99.89"/>
    <n v="97.65"/>
    <n v="30"/>
    <x v="0"/>
    <n v="72.027972030000001"/>
    <n v="80561.25"/>
    <n v="1848"/>
    <n v="3.636363636"/>
    <n v="0.86"/>
    <n v="0.12"/>
  </r>
  <r>
    <x v="0"/>
    <x v="0"/>
    <x v="1"/>
    <x v="1"/>
    <x v="1"/>
    <n v="654"/>
    <n v="96.01"/>
    <n v="90.31"/>
    <n v="10"/>
    <x v="0"/>
    <n v="75.886524820000005"/>
    <n v="59062.74"/>
    <n v="3727.8"/>
    <n v="1.529051988"/>
    <n v="0.94"/>
    <n v="0.15"/>
  </r>
  <r>
    <x v="2"/>
    <x v="2"/>
    <x v="1"/>
    <x v="1"/>
    <x v="1"/>
    <n v="1995"/>
    <n v="88.47"/>
    <n v="82.65"/>
    <n v="87"/>
    <x v="1"/>
    <n v="72.027972030000001"/>
    <n v="164886.75"/>
    <n v="11610.9"/>
    <n v="4.3609022560000001"/>
    <n v="0.14000000000000001"/>
    <n v="0.05"/>
  </r>
  <r>
    <x v="3"/>
    <x v="3"/>
    <x v="0"/>
    <x v="1"/>
    <x v="1"/>
    <n v="1019"/>
    <n v="91.56"/>
    <n v="77.930000000000007"/>
    <n v="111"/>
    <x v="1"/>
    <n v="70.512820509999997"/>
    <n v="79410.67"/>
    <n v="13888.97"/>
    <n v="10.893032379999999"/>
    <n v="0.24"/>
    <n v="0.1"/>
  </r>
  <r>
    <x v="4"/>
    <x v="4"/>
    <x v="0"/>
    <x v="2"/>
    <x v="3"/>
    <n v="1675"/>
    <n v="73.8"/>
    <n v="65.34"/>
    <n v="42"/>
    <x v="0"/>
    <n v="10.843373489999999"/>
    <n v="109444.5"/>
    <n v="14170.5"/>
    <n v="2.5074626869999999"/>
    <n v="0.98"/>
    <n v="0.06"/>
  </r>
  <r>
    <x v="2"/>
    <x v="2"/>
    <x v="1"/>
    <x v="3"/>
    <x v="3"/>
    <n v="1071"/>
    <n v="60.77"/>
    <n v="58.5"/>
    <n v="55"/>
    <x v="0"/>
    <n v="11.188811189999999"/>
    <n v="62653.5"/>
    <n v="2431.17"/>
    <n v="5.1353874880000001"/>
    <n v="0.86"/>
    <n v="0.09"/>
  </r>
  <r>
    <x v="3"/>
    <x v="3"/>
    <x v="0"/>
    <x v="0"/>
    <x v="1"/>
    <n v="467"/>
    <n v="19.170000000000002"/>
    <n v="17.11"/>
    <n v="49"/>
    <x v="0"/>
    <n v="70.512820509999997"/>
    <n v="7990.37"/>
    <n v="962.02"/>
    <n v="10.49250535"/>
    <n v="0.76"/>
    <n v="0.21"/>
  </r>
  <r>
    <x v="1"/>
    <x v="1"/>
    <x v="1"/>
    <x v="1"/>
    <x v="3"/>
    <n v="164"/>
    <n v="48.16"/>
    <n v="47.46"/>
    <n v="27"/>
    <x v="0"/>
    <n v="9.9415204680000002"/>
    <n v="7783.44"/>
    <n v="114.8"/>
    <n v="16.463414629999999"/>
    <n v="0.61"/>
    <n v="0.61"/>
  </r>
  <r>
    <x v="4"/>
    <x v="4"/>
    <x v="1"/>
    <x v="4"/>
    <x v="0"/>
    <n v="666"/>
    <n v="43.76"/>
    <n v="41.13"/>
    <n v="18"/>
    <x v="0"/>
    <n v="8.4337349400000008"/>
    <n v="27392.58"/>
    <n v="1751.58"/>
    <n v="2.7027027029999999"/>
    <n v="0.98"/>
    <n v="0.15"/>
  </r>
  <r>
    <x v="1"/>
    <x v="1"/>
    <x v="1"/>
    <x v="2"/>
    <x v="2"/>
    <n v="1976"/>
    <n v="34.71"/>
    <n v="31.56"/>
    <n v="286"/>
    <x v="1"/>
    <n v="10.52631579"/>
    <n v="62362.559999999998"/>
    <n v="6224.4"/>
    <n v="14.47368421"/>
    <n v="0.39"/>
    <n v="0.05"/>
  </r>
  <r>
    <x v="4"/>
    <x v="4"/>
    <x v="0"/>
    <x v="1"/>
    <x v="1"/>
    <n v="1269"/>
    <n v="79.61"/>
    <n v="71.86"/>
    <n v="47"/>
    <x v="0"/>
    <n v="72.289156629999994"/>
    <n v="91190.34"/>
    <n v="9834.75"/>
    <n v="3.703703704"/>
    <n v="0.98"/>
    <n v="0.08"/>
  </r>
  <r>
    <x v="4"/>
    <x v="4"/>
    <x v="1"/>
    <x v="1"/>
    <x v="1"/>
    <n v="875"/>
    <n v="57.63"/>
    <n v="51.8"/>
    <n v="16"/>
    <x v="0"/>
    <n v="72.289156629999994"/>
    <n v="45325"/>
    <n v="5101.25"/>
    <n v="1.8285714289999999"/>
    <n v="0.98"/>
    <n v="0.11"/>
  </r>
  <r>
    <x v="0"/>
    <x v="0"/>
    <x v="1"/>
    <x v="2"/>
    <x v="2"/>
    <n v="1574"/>
    <n v="17.899999999999999"/>
    <n v="15.85"/>
    <n v="31"/>
    <x v="0"/>
    <n v="7.092198582"/>
    <n v="24947.9"/>
    <n v="3226.7"/>
    <n v="1.969504447"/>
    <n v="0.94"/>
    <n v="0.06"/>
  </r>
  <r>
    <x v="4"/>
    <x v="4"/>
    <x v="0"/>
    <x v="0"/>
    <x v="2"/>
    <n v="1699"/>
    <n v="32.049999999999997"/>
    <n v="29.34"/>
    <n v="69"/>
    <x v="0"/>
    <n v="8.4337349400000008"/>
    <n v="49848.66"/>
    <n v="4604.29"/>
    <n v="4.0612124779999998"/>
    <n v="0.98"/>
    <n v="0.06"/>
  </r>
  <r>
    <x v="0"/>
    <x v="0"/>
    <x v="1"/>
    <x v="4"/>
    <x v="1"/>
    <n v="1566"/>
    <n v="75.430000000000007"/>
    <n v="71.27"/>
    <n v="27"/>
    <x v="0"/>
    <n v="75.886524820000005"/>
    <n v="111608.82"/>
    <n v="6514.56"/>
    <n v="1.724137931"/>
    <n v="0.94"/>
    <n v="0.06"/>
  </r>
  <r>
    <x v="2"/>
    <x v="2"/>
    <x v="1"/>
    <x v="4"/>
    <x v="1"/>
    <n v="1148"/>
    <n v="17.78"/>
    <n v="17.16"/>
    <n v="61"/>
    <x v="0"/>
    <n v="72.027972030000001"/>
    <n v="19699.68"/>
    <n v="711.76"/>
    <n v="5.3135888500000004"/>
    <n v="0.86"/>
    <n v="0.09"/>
  </r>
  <r>
    <x v="4"/>
    <x v="4"/>
    <x v="0"/>
    <x v="0"/>
    <x v="1"/>
    <n v="462"/>
    <n v="91.81"/>
    <n v="83.14"/>
    <n v="11"/>
    <x v="0"/>
    <n v="72.289156629999994"/>
    <n v="38410.68"/>
    <n v="4005.54"/>
    <n v="2.3809523810000002"/>
    <n v="0.98"/>
    <n v="0.22"/>
  </r>
  <r>
    <x v="2"/>
    <x v="2"/>
    <x v="1"/>
    <x v="2"/>
    <x v="1"/>
    <n v="1449"/>
    <n v="57.02"/>
    <n v="49.28"/>
    <n v="71"/>
    <x v="0"/>
    <n v="72.027972030000001"/>
    <n v="71406.720000000001"/>
    <n v="11215.26"/>
    <n v="4.8999309870000003"/>
    <n v="0.86"/>
    <n v="7.0000000000000007E-2"/>
  </r>
  <r>
    <x v="4"/>
    <x v="4"/>
    <x v="0"/>
    <x v="1"/>
    <x v="1"/>
    <n v="1493"/>
    <n v="56.98"/>
    <n v="52.51"/>
    <n v="43"/>
    <x v="0"/>
    <n v="72.289156629999994"/>
    <n v="78397.429999999993"/>
    <n v="6673.71"/>
    <n v="2.8801071669999998"/>
    <n v="0.98"/>
    <n v="7.0000000000000007E-2"/>
  </r>
  <r>
    <x v="0"/>
    <x v="0"/>
    <x v="1"/>
    <x v="0"/>
    <x v="1"/>
    <n v="778"/>
    <n v="65.849999999999994"/>
    <n v="62.08"/>
    <n v="24"/>
    <x v="1"/>
    <n v="75.886524820000005"/>
    <n v="48298.239999999998"/>
    <n v="2933.06"/>
    <n v="3.0848329049999998"/>
    <n v="0.06"/>
    <n v="0.13"/>
  </r>
  <r>
    <x v="1"/>
    <x v="1"/>
    <x v="1"/>
    <x v="2"/>
    <x v="2"/>
    <n v="1350"/>
    <n v="85.06"/>
    <n v="82.34"/>
    <n v="155"/>
    <x v="1"/>
    <n v="10.52631579"/>
    <n v="111159"/>
    <n v="3672"/>
    <n v="11.481481479999999"/>
    <n v="0.39"/>
    <n v="7.0000000000000007E-2"/>
  </r>
  <r>
    <x v="4"/>
    <x v="4"/>
    <x v="0"/>
    <x v="2"/>
    <x v="1"/>
    <n v="1070"/>
    <n v="44.4"/>
    <n v="40.07"/>
    <n v="26"/>
    <x v="0"/>
    <n v="72.289156629999994"/>
    <n v="42874.9"/>
    <n v="4633.1000000000004"/>
    <n v="2.4299065419999999"/>
    <n v="0.98"/>
    <n v="0.09"/>
  </r>
  <r>
    <x v="3"/>
    <x v="3"/>
    <x v="1"/>
    <x v="2"/>
    <x v="3"/>
    <n v="810"/>
    <n v="71.02"/>
    <n v="66.8"/>
    <n v="73"/>
    <x v="0"/>
    <n v="12.179487180000001"/>
    <n v="54108"/>
    <n v="3418.2"/>
    <n v="9.0123456789999992"/>
    <n v="0.76"/>
    <n v="0.12"/>
  </r>
  <r>
    <x v="1"/>
    <x v="1"/>
    <x v="0"/>
    <x v="2"/>
    <x v="0"/>
    <n v="725"/>
    <n v="66.400000000000006"/>
    <n v="62.1"/>
    <n v="118"/>
    <x v="0"/>
    <n v="9.3567251460000005"/>
    <n v="45022.5"/>
    <n v="3117.5"/>
    <n v="16.275862069999999"/>
    <n v="0.61"/>
    <n v="0.14000000000000001"/>
  </r>
  <r>
    <x v="0"/>
    <x v="0"/>
    <x v="1"/>
    <x v="4"/>
    <x v="1"/>
    <n v="1467"/>
    <n v="34.200000000000003"/>
    <n v="30.5"/>
    <n v="25"/>
    <x v="0"/>
    <n v="75.886524820000005"/>
    <n v="44743.5"/>
    <n v="5427.9"/>
    <n v="1.7041581459999999"/>
    <n v="0.94"/>
    <n v="7.0000000000000007E-2"/>
  </r>
  <r>
    <x v="3"/>
    <x v="3"/>
    <x v="1"/>
    <x v="2"/>
    <x v="1"/>
    <n v="1942"/>
    <n v="93.98"/>
    <n v="81.31"/>
    <n v="198"/>
    <x v="0"/>
    <n v="70.512820509999997"/>
    <n v="157904.01999999999"/>
    <n v="24605.14"/>
    <n v="10.19567456"/>
    <n v="0.76"/>
    <n v="0.05"/>
  </r>
  <r>
    <x v="2"/>
    <x v="2"/>
    <x v="1"/>
    <x v="0"/>
    <x v="1"/>
    <n v="506"/>
    <n v="84.63"/>
    <n v="72.69"/>
    <n v="20"/>
    <x v="0"/>
    <n v="72.027972030000001"/>
    <n v="36781.14"/>
    <n v="6041.64"/>
    <n v="3.9525691699999999"/>
    <n v="0.86"/>
    <n v="0.2"/>
  </r>
  <r>
    <x v="0"/>
    <x v="0"/>
    <x v="0"/>
    <x v="1"/>
    <x v="1"/>
    <n v="969"/>
    <n v="76.53"/>
    <n v="75.64"/>
    <n v="30"/>
    <x v="0"/>
    <n v="75.886524820000005"/>
    <n v="73295.16"/>
    <n v="862.41"/>
    <n v="3.0959752319999998"/>
    <n v="0.94"/>
    <n v="0.1"/>
  </r>
  <r>
    <x v="1"/>
    <x v="1"/>
    <x v="1"/>
    <x v="1"/>
    <x v="1"/>
    <n v="241"/>
    <n v="87.42"/>
    <n v="82.15"/>
    <n v="155"/>
    <x v="0"/>
    <n v="70.175438600000007"/>
    <n v="19798.150000000001"/>
    <n v="1270.07"/>
    <n v="64.315352700000005"/>
    <n v="0.61"/>
    <n v="0.41"/>
  </r>
  <r>
    <x v="2"/>
    <x v="2"/>
    <x v="0"/>
    <x v="3"/>
    <x v="1"/>
    <n v="788"/>
    <n v="97.3"/>
    <n v="94.44"/>
    <n v="32"/>
    <x v="0"/>
    <n v="72.027972030000001"/>
    <n v="74418.720000000001"/>
    <n v="2253.6799999999998"/>
    <n v="4.060913706"/>
    <n v="0.86"/>
    <n v="0.13"/>
  </r>
  <r>
    <x v="2"/>
    <x v="2"/>
    <x v="1"/>
    <x v="0"/>
    <x v="1"/>
    <n v="1762"/>
    <n v="74.12"/>
    <n v="65.709999999999994"/>
    <n v="94"/>
    <x v="0"/>
    <n v="72.027972030000001"/>
    <n v="115781.02"/>
    <n v="14818.42"/>
    <n v="5.334846765"/>
    <n v="0.86"/>
    <n v="0.06"/>
  </r>
  <r>
    <x v="0"/>
    <x v="0"/>
    <x v="1"/>
    <x v="3"/>
    <x v="3"/>
    <n v="1172"/>
    <n v="85.76"/>
    <n v="81.430000000000007"/>
    <n v="25"/>
    <x v="0"/>
    <n v="7.80141844"/>
    <n v="95435.96"/>
    <n v="5074.76"/>
    <n v="2.1331058020000002"/>
    <n v="0.94"/>
    <n v="0.09"/>
  </r>
  <r>
    <x v="1"/>
    <x v="1"/>
    <x v="1"/>
    <x v="0"/>
    <x v="1"/>
    <n v="1621"/>
    <n v="75.680000000000007"/>
    <n v="73.78"/>
    <n v="226"/>
    <x v="1"/>
    <n v="70.175438600000007"/>
    <n v="119597.38"/>
    <n v="3079.9"/>
    <n v="13.9420111"/>
    <n v="0.39"/>
    <n v="0.06"/>
  </r>
  <r>
    <x v="0"/>
    <x v="0"/>
    <x v="1"/>
    <x v="2"/>
    <x v="1"/>
    <n v="1027"/>
    <n v="73.349999999999994"/>
    <n v="65.42"/>
    <n v="24"/>
    <x v="1"/>
    <n v="75.886524820000005"/>
    <n v="67186.34"/>
    <n v="8144.11"/>
    <n v="2.3369036030000001"/>
    <n v="0.06"/>
    <n v="0.1"/>
  </r>
  <r>
    <x v="3"/>
    <x v="3"/>
    <x v="1"/>
    <x v="3"/>
    <x v="1"/>
    <n v="1058"/>
    <n v="65.680000000000007"/>
    <n v="57.21"/>
    <n v="101"/>
    <x v="0"/>
    <n v="70.512820509999997"/>
    <n v="60528.18"/>
    <n v="8961.26"/>
    <n v="9.5463138000000001"/>
    <n v="0.76"/>
    <n v="0.09"/>
  </r>
  <r>
    <x v="3"/>
    <x v="3"/>
    <x v="0"/>
    <x v="2"/>
    <x v="1"/>
    <n v="145"/>
    <n v="85.52"/>
    <n v="81.86"/>
    <n v="11"/>
    <x v="1"/>
    <n v="70.512820509999997"/>
    <n v="11869.7"/>
    <n v="530.70000000000005"/>
    <n v="7.5862068970000003"/>
    <n v="0.24"/>
    <n v="0.69"/>
  </r>
  <r>
    <x v="4"/>
    <x v="4"/>
    <x v="1"/>
    <x v="0"/>
    <x v="1"/>
    <n v="1737"/>
    <n v="24.88"/>
    <n v="24.28"/>
    <n v="46"/>
    <x v="0"/>
    <n v="72.289156629999994"/>
    <n v="42174.36"/>
    <n v="1042.2"/>
    <n v="2.6482440989999998"/>
    <n v="0.98"/>
    <n v="0.06"/>
  </r>
  <r>
    <x v="2"/>
    <x v="2"/>
    <x v="1"/>
    <x v="4"/>
    <x v="1"/>
    <n v="712"/>
    <n v="92.85"/>
    <n v="89.39"/>
    <n v="43"/>
    <x v="0"/>
    <n v="72.027972030000001"/>
    <n v="63645.68"/>
    <n v="2463.52"/>
    <n v="6.0393258430000003"/>
    <n v="0.86"/>
    <n v="0.14000000000000001"/>
  </r>
  <r>
    <x v="4"/>
    <x v="4"/>
    <x v="1"/>
    <x v="4"/>
    <x v="1"/>
    <n v="1263"/>
    <n v="90.24"/>
    <n v="86.84"/>
    <n v="28"/>
    <x v="0"/>
    <n v="72.289156629999994"/>
    <n v="109678.92"/>
    <n v="4294.2"/>
    <n v="2.2169437849999998"/>
    <n v="0.98"/>
    <n v="0.08"/>
  </r>
  <r>
    <x v="1"/>
    <x v="1"/>
    <x v="0"/>
    <x v="4"/>
    <x v="1"/>
    <n v="1809"/>
    <n v="13.58"/>
    <n v="12.68"/>
    <n v="155"/>
    <x v="1"/>
    <n v="70.175438600000007"/>
    <n v="22938.12"/>
    <n v="1628.1"/>
    <n v="8.5682697619999999"/>
    <n v="0.39"/>
    <n v="0.06"/>
  </r>
  <r>
    <x v="3"/>
    <x v="3"/>
    <x v="0"/>
    <x v="4"/>
    <x v="0"/>
    <n v="86"/>
    <n v="93.6"/>
    <n v="88.22"/>
    <n v="5"/>
    <x v="0"/>
    <n v="8.9743589739999994"/>
    <n v="7586.92"/>
    <n v="462.68"/>
    <n v="5.8139534880000001"/>
    <n v="0.76"/>
    <n v="1.1599999999999999"/>
  </r>
  <r>
    <x v="4"/>
    <x v="4"/>
    <x v="1"/>
    <x v="1"/>
    <x v="1"/>
    <n v="1853"/>
    <n v="21.92"/>
    <n v="20.72"/>
    <n v="33"/>
    <x v="0"/>
    <n v="72.289156629999994"/>
    <n v="38394.160000000003"/>
    <n v="2223.6"/>
    <n v="1.7808958450000001"/>
    <n v="0.98"/>
    <n v="0.05"/>
  </r>
  <r>
    <x v="3"/>
    <x v="3"/>
    <x v="0"/>
    <x v="4"/>
    <x v="1"/>
    <n v="1442"/>
    <n v="43.98"/>
    <n v="41.82"/>
    <n v="140"/>
    <x v="1"/>
    <n v="70.512820509999997"/>
    <n v="60304.44"/>
    <n v="3114.72"/>
    <n v="9.7087378639999997"/>
    <n v="0.24"/>
    <n v="7.0000000000000007E-2"/>
  </r>
  <r>
    <x v="3"/>
    <x v="3"/>
    <x v="1"/>
    <x v="0"/>
    <x v="3"/>
    <n v="1768"/>
    <n v="79.61"/>
    <n v="74.97"/>
    <n v="207"/>
    <x v="1"/>
    <n v="12.179487180000001"/>
    <n v="132546.96"/>
    <n v="8203.52"/>
    <n v="11.708144799999999"/>
    <n v="0.24"/>
    <n v="0.06"/>
  </r>
  <r>
    <x v="3"/>
    <x v="3"/>
    <x v="0"/>
    <x v="4"/>
    <x v="2"/>
    <n v="1598"/>
    <n v="26.3"/>
    <n v="26.03"/>
    <n v="154"/>
    <x v="1"/>
    <n v="8.3333333330000006"/>
    <n v="41595.94"/>
    <n v="431.46"/>
    <n v="9.6370463080000004"/>
    <n v="0.24"/>
    <n v="0.06"/>
  </r>
  <r>
    <x v="0"/>
    <x v="0"/>
    <x v="0"/>
    <x v="1"/>
    <x v="0"/>
    <n v="328"/>
    <n v="93.23"/>
    <n v="82.63"/>
    <n v="6"/>
    <x v="0"/>
    <n v="9.2198581560000008"/>
    <n v="27102.639999999999"/>
    <n v="3476.8"/>
    <n v="1.8292682929999999"/>
    <n v="0.94"/>
    <n v="0.3"/>
  </r>
  <r>
    <x v="4"/>
    <x v="4"/>
    <x v="1"/>
    <x v="2"/>
    <x v="1"/>
    <n v="266"/>
    <n v="88.29"/>
    <n v="80.22"/>
    <n v="4"/>
    <x v="0"/>
    <n v="72.289156629999994"/>
    <n v="21338.52"/>
    <n v="2146.62"/>
    <n v="1.5037593979999999"/>
    <n v="0.98"/>
    <n v="0.38"/>
  </r>
  <r>
    <x v="2"/>
    <x v="2"/>
    <x v="0"/>
    <x v="3"/>
    <x v="1"/>
    <n v="916"/>
    <n v="59.01"/>
    <n v="53.37"/>
    <n v="47"/>
    <x v="0"/>
    <n v="72.027972030000001"/>
    <n v="48886.92"/>
    <n v="5166.24"/>
    <n v="5.1310043670000001"/>
    <n v="0.86"/>
    <n v="0.11"/>
  </r>
  <r>
    <x v="4"/>
    <x v="4"/>
    <x v="1"/>
    <x v="2"/>
    <x v="0"/>
    <n v="922"/>
    <n v="10.84"/>
    <n v="9.27"/>
    <n v="29"/>
    <x v="0"/>
    <n v="8.4337349400000008"/>
    <n v="8546.94"/>
    <n v="1447.54"/>
    <n v="3.145336226"/>
    <n v="0.98"/>
    <n v="0.11"/>
  </r>
  <r>
    <x v="2"/>
    <x v="2"/>
    <x v="0"/>
    <x v="2"/>
    <x v="1"/>
    <n v="1871"/>
    <n v="39.42"/>
    <n v="37.409999999999997"/>
    <n v="101"/>
    <x v="1"/>
    <n v="72.027972030000001"/>
    <n v="69994.11"/>
    <n v="3760.71"/>
    <n v="5.3981827899999999"/>
    <n v="0.14000000000000001"/>
    <n v="0.05"/>
  </r>
  <r>
    <x v="4"/>
    <x v="4"/>
    <x v="0"/>
    <x v="3"/>
    <x v="1"/>
    <n v="1346"/>
    <n v="72.08"/>
    <n v="67.040000000000006"/>
    <n v="38"/>
    <x v="0"/>
    <n v="72.289156629999994"/>
    <n v="90235.839999999997"/>
    <n v="6783.84"/>
    <n v="2.8231797919999999"/>
    <n v="0.98"/>
    <n v="7.0000000000000007E-2"/>
  </r>
  <r>
    <x v="4"/>
    <x v="4"/>
    <x v="1"/>
    <x v="4"/>
    <x v="1"/>
    <n v="1954"/>
    <n v="99.78"/>
    <n v="87.47"/>
    <n v="57"/>
    <x v="0"/>
    <n v="72.289156629999994"/>
    <n v="170916.38"/>
    <n v="24053.74"/>
    <n v="2.9170931420000001"/>
    <n v="0.98"/>
    <n v="0.05"/>
  </r>
  <r>
    <x v="3"/>
    <x v="3"/>
    <x v="1"/>
    <x v="4"/>
    <x v="1"/>
    <n v="111"/>
    <n v="68.53"/>
    <n v="65.22"/>
    <n v="11"/>
    <x v="0"/>
    <n v="70.512820509999997"/>
    <n v="7239.42"/>
    <n v="367.41"/>
    <n v="9.9099099099999997"/>
    <n v="0.76"/>
    <n v="0.9"/>
  </r>
  <r>
    <x v="2"/>
    <x v="2"/>
    <x v="1"/>
    <x v="0"/>
    <x v="3"/>
    <n v="645"/>
    <n v="35.049999999999997"/>
    <n v="30.88"/>
    <n v="27"/>
    <x v="0"/>
    <n v="11.188811189999999"/>
    <n v="19917.599999999999"/>
    <n v="2689.65"/>
    <n v="4.1860465119999999"/>
    <n v="0.86"/>
    <n v="0.16"/>
  </r>
  <r>
    <x v="2"/>
    <x v="2"/>
    <x v="1"/>
    <x v="4"/>
    <x v="0"/>
    <n v="1953"/>
    <n v="68.069999999999993"/>
    <n v="62.95"/>
    <n v="87"/>
    <x v="0"/>
    <n v="4.1958041960000001"/>
    <n v="122941.35"/>
    <n v="9999.36"/>
    <n v="4.4546850999999998"/>
    <n v="0.86"/>
    <n v="0.05"/>
  </r>
  <r>
    <x v="2"/>
    <x v="2"/>
    <x v="0"/>
    <x v="4"/>
    <x v="1"/>
    <n v="778"/>
    <n v="64.17"/>
    <n v="61.6"/>
    <n v="47"/>
    <x v="0"/>
    <n v="72.027972030000001"/>
    <n v="47924.800000000003"/>
    <n v="1999.46"/>
    <n v="6.0411311049999998"/>
    <n v="0.86"/>
    <n v="0.13"/>
  </r>
  <r>
    <x v="4"/>
    <x v="4"/>
    <x v="1"/>
    <x v="0"/>
    <x v="1"/>
    <n v="1415"/>
    <n v="80.19"/>
    <n v="78.34"/>
    <n v="33"/>
    <x v="0"/>
    <n v="72.289156629999994"/>
    <n v="110851.1"/>
    <n v="2617.75"/>
    <n v="2.3321554770000001"/>
    <n v="0.98"/>
    <n v="7.0000000000000007E-2"/>
  </r>
  <r>
    <x v="2"/>
    <x v="2"/>
    <x v="1"/>
    <x v="3"/>
    <x v="1"/>
    <n v="446"/>
    <n v="20.61"/>
    <n v="19.46"/>
    <n v="14"/>
    <x v="0"/>
    <n v="72.027972030000001"/>
    <n v="8679.16"/>
    <n v="512.9"/>
    <n v="3.139013453"/>
    <n v="0.86"/>
    <n v="0.22"/>
  </r>
  <r>
    <x v="4"/>
    <x v="4"/>
    <x v="0"/>
    <x v="0"/>
    <x v="1"/>
    <n v="748"/>
    <n v="85.95"/>
    <n v="79.16"/>
    <n v="32"/>
    <x v="0"/>
    <n v="72.289156629999994"/>
    <n v="59211.68"/>
    <n v="5078.92"/>
    <n v="4.2780748659999999"/>
    <n v="0.98"/>
    <n v="0.13"/>
  </r>
  <r>
    <x v="0"/>
    <x v="0"/>
    <x v="0"/>
    <x v="4"/>
    <x v="3"/>
    <n v="1092"/>
    <n v="65.17"/>
    <n v="63.11"/>
    <n v="21"/>
    <x v="0"/>
    <n v="7.80141844"/>
    <n v="68916.12"/>
    <n v="2249.52"/>
    <n v="1.923076923"/>
    <n v="0.94"/>
    <n v="0.09"/>
  </r>
  <r>
    <x v="3"/>
    <x v="3"/>
    <x v="0"/>
    <x v="4"/>
    <x v="1"/>
    <n v="226"/>
    <n v="102.47"/>
    <n v="99.16"/>
    <n v="28"/>
    <x v="0"/>
    <n v="70.512820509999997"/>
    <n v="22410.16"/>
    <n v="748.06"/>
    <n v="12.38938053"/>
    <n v="0.76"/>
    <n v="0.44"/>
  </r>
  <r>
    <x v="1"/>
    <x v="1"/>
    <x v="0"/>
    <x v="4"/>
    <x v="1"/>
    <n v="1685"/>
    <n v="43.42"/>
    <n v="42.24"/>
    <n v="262"/>
    <x v="0"/>
    <n v="70.175438600000007"/>
    <n v="71174.399999999994"/>
    <n v="1988.3"/>
    <n v="15.548961419999999"/>
    <n v="0.61"/>
    <n v="0.06"/>
  </r>
  <r>
    <x v="0"/>
    <x v="0"/>
    <x v="1"/>
    <x v="0"/>
    <x v="1"/>
    <n v="445"/>
    <n v="68.94"/>
    <n v="60.35"/>
    <n v="7"/>
    <x v="0"/>
    <n v="75.886524820000005"/>
    <n v="26855.75"/>
    <n v="3822.55"/>
    <n v="1.5730337080000001"/>
    <n v="0.94"/>
    <n v="0.22"/>
  </r>
  <r>
    <x v="2"/>
    <x v="2"/>
    <x v="1"/>
    <x v="3"/>
    <x v="1"/>
    <n v="494"/>
    <n v="94.82"/>
    <n v="81.89"/>
    <n v="29"/>
    <x v="0"/>
    <n v="72.027972030000001"/>
    <n v="40453.660000000003"/>
    <n v="6387.42"/>
    <n v="5.8704453440000002"/>
    <n v="0.86"/>
    <n v="0.2"/>
  </r>
  <r>
    <x v="3"/>
    <x v="3"/>
    <x v="0"/>
    <x v="1"/>
    <x v="1"/>
    <n v="1306"/>
    <n v="21.05"/>
    <n v="18.27"/>
    <n v="128"/>
    <x v="0"/>
    <n v="70.512820509999997"/>
    <n v="23860.62"/>
    <n v="3630.68"/>
    <n v="9.8009188359999992"/>
    <n v="0.76"/>
    <n v="0.08"/>
  </r>
  <r>
    <x v="3"/>
    <x v="3"/>
    <x v="0"/>
    <x v="0"/>
    <x v="1"/>
    <n v="1988"/>
    <n v="105.2"/>
    <n v="93.23"/>
    <n v="187"/>
    <x v="0"/>
    <n v="70.512820509999997"/>
    <n v="185341.24"/>
    <n v="23796.36"/>
    <n v="9.4064386320000004"/>
    <n v="0.76"/>
    <n v="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8">
  <r>
    <s v="Vendor_01"/>
    <x v="0"/>
    <n v="2023"/>
    <s v="Office Supplies"/>
    <x v="0"/>
    <n v="1176"/>
    <n v="20.13"/>
    <n v="17.809999999999999"/>
    <n v="24"/>
    <s v="Yes"/>
    <n v="9.2198581560283682E-2"/>
    <n v="20944.560000000001"/>
    <n v="2728.32"/>
    <n v="2.0408163265306121E-2"/>
    <n v="0.94"/>
    <n v="0.11525086934923003"/>
  </r>
  <r>
    <s v="Vendor_03"/>
    <x v="1"/>
    <n v="2022"/>
    <s v="Office Supplies"/>
    <x v="1"/>
    <n v="1509"/>
    <n v="39.32"/>
    <n v="37.340000000000003"/>
    <n v="235"/>
    <s v="Yes"/>
    <n v="0.70175438596491224"/>
    <n v="56346.06"/>
    <n v="2987.82"/>
    <n v="0.15573227302849568"/>
    <n v="0.61"/>
    <n v="5.0356052899287816E-2"/>
  </r>
  <r>
    <s v="Vendor_05"/>
    <x v="2"/>
    <n v="2022"/>
    <s v="MRO"/>
    <x v="1"/>
    <n v="910"/>
    <n v="95.51"/>
    <n v="92.26"/>
    <n v="41"/>
    <s v="Yes"/>
    <n v="0.72027972027972031"/>
    <n v="83956.6"/>
    <n v="2957.5"/>
    <n v="4.5054945054945054E-2"/>
    <n v="0.86"/>
    <n v="3.4027850486860016E-2"/>
  </r>
  <r>
    <s v="Vendor_02"/>
    <x v="3"/>
    <n v="2022"/>
    <s v="Packaging"/>
    <x v="1"/>
    <n v="1344"/>
    <n v="99.85"/>
    <n v="95.52"/>
    <n v="112"/>
    <s v="Yes"/>
    <n v="0.70512820512820518"/>
    <n v="128378.88"/>
    <n v="5819.52"/>
    <n v="8.3333333333333329E-2"/>
    <n v="0.24"/>
    <n v="4.3365047571357021E-2"/>
  </r>
  <r>
    <s v="Vendor_03"/>
    <x v="1"/>
    <n v="2022"/>
    <s v="Raw Materials"/>
    <x v="1"/>
    <n v="1180"/>
    <n v="64.069999999999993"/>
    <n v="60.53"/>
    <n v="171"/>
    <s v="No"/>
    <n v="0.70175438596491224"/>
    <n v="71425.399999999994"/>
    <n v="4177.2"/>
    <n v="0.14491525423728813"/>
    <n v="0.39"/>
    <n v="5.5252068050569571E-2"/>
  </r>
  <r>
    <s v="Vendor_04"/>
    <x v="4"/>
    <n v="2022"/>
    <s v="MRO"/>
    <x v="1"/>
    <n v="1145"/>
    <n v="69.209999999999994"/>
    <n v="63.57"/>
    <n v="39"/>
    <s v="Yes"/>
    <n v="0.72289156626506024"/>
    <n v="72787.649999999994"/>
    <n v="6457.8"/>
    <n v="3.4061135371179038E-2"/>
    <n v="0.98"/>
    <n v="8.1491114000866838E-2"/>
  </r>
  <r>
    <s v="Vendor_05"/>
    <x v="2"/>
    <n v="2022"/>
    <s v="MRO"/>
    <x v="1"/>
    <n v="1774"/>
    <n v="51.37"/>
    <n v="47.82"/>
    <n v="96"/>
    <s v="No"/>
    <n v="0.72027972027972031"/>
    <n v="84832.68"/>
    <n v="6297.7"/>
    <n v="5.4114994363021418E-2"/>
    <n v="0.14000000000000001"/>
    <n v="6.9106482382713594E-2"/>
  </r>
  <r>
    <s v="Vendor_01"/>
    <x v="0"/>
    <n v="2022"/>
    <s v="MRO"/>
    <x v="1"/>
    <n v="1094"/>
    <n v="36.93"/>
    <n v="32.78"/>
    <n v="22"/>
    <s v="Yes"/>
    <n v="0.75886524822695034"/>
    <n v="35861.32"/>
    <n v="4540.1000000000004"/>
    <n v="2.0109689213893969E-2"/>
    <n v="0.94"/>
    <n v="0.11237476306525856"/>
  </r>
  <r>
    <s v="Vendor_05"/>
    <x v="2"/>
    <n v="2023"/>
    <s v="Raw Materials"/>
    <x v="2"/>
    <n v="1688"/>
    <n v="43.93"/>
    <n v="39.89"/>
    <n v="89"/>
    <s v="Yes"/>
    <n v="0.12587412587412589"/>
    <n v="67334.320000000007"/>
    <n v="6819.52"/>
    <n v="5.2725118483412325E-2"/>
    <n v="0.86"/>
    <n v="9.1964488959708615E-2"/>
  </r>
  <r>
    <s v="Vendor_05"/>
    <x v="2"/>
    <n v="2023"/>
    <s v="Raw Materials"/>
    <x v="3"/>
    <n v="171"/>
    <n v="76.87"/>
    <n v="70.2"/>
    <n v="8"/>
    <s v="Yes"/>
    <n v="0.11188811188811189"/>
    <n v="12004.2"/>
    <n v="1140.57"/>
    <n v="4.6783625730994149E-2"/>
    <n v="0.86"/>
    <n v="8.6769871211135705E-2"/>
  </r>
  <r>
    <s v="Vendor_04"/>
    <x v="4"/>
    <n v="2022"/>
    <s v="Raw Materials"/>
    <x v="1"/>
    <n v="5000"/>
    <n v="78.489999999999995"/>
    <n v="73.680000000000007"/>
    <n v="18"/>
    <s v="Yes"/>
    <n v="0.72289156626506024"/>
    <n v="368400"/>
    <n v="24050"/>
    <n v="3.5999999999999999E-3"/>
    <n v="0.98"/>
    <n v="6.1281691935278229E-2"/>
  </r>
  <r>
    <s v="Vendor_02"/>
    <x v="3"/>
    <n v="2023"/>
    <s v="Raw Materials"/>
    <x v="1"/>
    <n v="5000"/>
    <n v="88.96"/>
    <n v="86.58"/>
    <n v="115"/>
    <s v="Yes"/>
    <n v="0.70512820512820518"/>
    <n v="432900"/>
    <n v="11900"/>
    <n v="2.3E-2"/>
    <n v="0.76"/>
    <n v="2.675359712230211E-2"/>
  </r>
  <r>
    <s v="Vendor_02"/>
    <x v="3"/>
    <n v="2023"/>
    <s v="Electronics"/>
    <x v="3"/>
    <n v="5000"/>
    <n v="86.74"/>
    <n v="74.86"/>
    <n v="51"/>
    <s v="Yes"/>
    <n v="0.12179487179487179"/>
    <n v="374300"/>
    <n v="59400"/>
    <n v="1.0200000000000001E-2"/>
    <n v="0.76"/>
    <n v="0.13696103297210049"/>
  </r>
  <r>
    <s v="Vendor_02"/>
    <x v="3"/>
    <n v="2022"/>
    <s v="MRO"/>
    <x v="1"/>
    <n v="5000"/>
    <n v="18.3"/>
    <n v="16.88"/>
    <n v="105"/>
    <s v="Yes"/>
    <n v="0.70512820512820518"/>
    <n v="84400"/>
    <n v="7100"/>
    <n v="2.1000000000000001E-2"/>
    <n v="0.76"/>
    <n v="7.7595628415300641E-2"/>
  </r>
  <r>
    <s v="Vendor_03"/>
    <x v="1"/>
    <n v="2022"/>
    <s v="Electronics"/>
    <x v="3"/>
    <n v="5000"/>
    <n v="54.5"/>
    <n v="48.45"/>
    <n v="22"/>
    <s v="Yes"/>
    <n v="9.9415204678362568E-2"/>
    <n v="242250"/>
    <n v="30250"/>
    <n v="4.4000000000000003E-3"/>
    <n v="0.61"/>
    <n v="0.11100917431192656"/>
  </r>
  <r>
    <s v="Vendor_02"/>
    <x v="3"/>
    <n v="2022"/>
    <s v="Packaging"/>
    <x v="1"/>
    <n v="5000"/>
    <n v="15.41"/>
    <n v="15.12"/>
    <n v="105"/>
    <s v="Yes"/>
    <n v="0.70512820512820518"/>
    <n v="75600"/>
    <n v="1450"/>
    <n v="2.1000000000000001E-2"/>
    <n v="0.76"/>
    <n v="1.881894873458799E-2"/>
  </r>
  <r>
    <s v="Vendor_03"/>
    <x v="1"/>
    <n v="2022"/>
    <s v="MRO"/>
    <x v="1"/>
    <n v="1173"/>
    <n v="61.54"/>
    <n v="55.49"/>
    <n v="172"/>
    <s v="No"/>
    <n v="0.70175438596491224"/>
    <n v="65089.77"/>
    <n v="7096.65"/>
    <n v="0.14663256606990621"/>
    <n v="0.39"/>
    <n v="9.8310042248943727E-2"/>
  </r>
  <r>
    <s v="Vendor_04"/>
    <x v="4"/>
    <n v="2022"/>
    <s v="Raw Materials"/>
    <x v="1"/>
    <n v="921"/>
    <n v="51.48"/>
    <n v="50.61"/>
    <n v="33"/>
    <s v="Yes"/>
    <n v="0.72289156626506024"/>
    <n v="46611.81"/>
    <n v="801.27"/>
    <n v="3.5830618892508145E-2"/>
    <n v="0.98"/>
    <n v="1.6899766899766851E-2"/>
  </r>
  <r>
    <s v="Vendor_05"/>
    <x v="2"/>
    <n v="2023"/>
    <s v="Raw Materials"/>
    <x v="2"/>
    <n v="1737"/>
    <n v="97.53"/>
    <n v="87.37"/>
    <n v="79"/>
    <s v="Yes"/>
    <n v="0.12587412587412589"/>
    <n v="151761.69"/>
    <n v="17647.919999999998"/>
    <n v="4.5480713874496259E-2"/>
    <n v="0.86"/>
    <n v="0.104173074951297"/>
  </r>
  <r>
    <s v="Vendor_03"/>
    <x v="1"/>
    <n v="2023"/>
    <s v="Raw Materials"/>
    <x v="1"/>
    <n v="180"/>
    <n v="45.74"/>
    <n v="38.89"/>
    <n v="155"/>
    <s v="No"/>
    <n v="0.70175438596491224"/>
    <n v="7000.2"/>
    <n v="1233"/>
    <n v="0.86111111111111116"/>
    <n v="0.39"/>
    <n v="0.14975951027547008"/>
  </r>
  <r>
    <s v="Vendor_04"/>
    <x v="4"/>
    <n v="2022"/>
    <s v="Electronics"/>
    <x v="0"/>
    <n v="1735"/>
    <n v="20.54"/>
    <n v="19.690000000000001"/>
    <n v="49"/>
    <s v="Yes"/>
    <n v="8.4337349397590355E-2"/>
    <n v="34162.15"/>
    <n v="1474.75"/>
    <n v="2.824207492795389E-2"/>
    <n v="0.98"/>
    <n v="4.1382667964946343E-2"/>
  </r>
  <r>
    <s v="Vendor_03"/>
    <x v="1"/>
    <n v="2023"/>
    <s v="Raw Materials"/>
    <x v="1"/>
    <n v="1382"/>
    <n v="24.93"/>
    <n v="23.75"/>
    <n v="155"/>
    <s v="Yes"/>
    <n v="0.70175438596491224"/>
    <n v="32822.5"/>
    <n v="1630.76"/>
    <n v="0.11215629522431259"/>
    <n v="0.61"/>
    <n v="4.733253108704371E-2"/>
  </r>
  <r>
    <s v="Vendor_04"/>
    <x v="4"/>
    <n v="2022"/>
    <s v="MRO"/>
    <x v="1"/>
    <n v="819"/>
    <n v="80.89"/>
    <n v="77.03"/>
    <n v="29"/>
    <s v="Yes"/>
    <n v="0.72289156626506024"/>
    <n v="63087.57"/>
    <n v="3161.34"/>
    <n v="3.5409035409035408E-2"/>
    <n v="0.98"/>
    <n v="4.7719124737297558E-2"/>
  </r>
  <r>
    <s v="Vendor_02"/>
    <x v="3"/>
    <n v="2023"/>
    <s v="Office Supplies"/>
    <x v="2"/>
    <n v="393"/>
    <n v="72.53"/>
    <n v="66.31"/>
    <n v="42"/>
    <s v="No"/>
    <n v="8.3333333333333329E-2"/>
    <n v="26059.83"/>
    <n v="2444.46"/>
    <n v="0.10687022900763359"/>
    <n v="0.24"/>
    <n v="8.5757617537570649E-2"/>
  </r>
  <r>
    <s v="Vendor_02"/>
    <x v="3"/>
    <n v="2023"/>
    <s v="MRO"/>
    <x v="1"/>
    <n v="1565"/>
    <n v="21.3"/>
    <n v="20.09"/>
    <n v="161"/>
    <s v="Yes"/>
    <n v="0.70512820512820518"/>
    <n v="31440.85"/>
    <n v="1893.65"/>
    <n v="0.10287539936102237"/>
    <n v="0.76"/>
    <n v="5.6807511737089242E-2"/>
  </r>
  <r>
    <s v="Vendor_04"/>
    <x v="4"/>
    <n v="2023"/>
    <s v="Packaging"/>
    <x v="1"/>
    <n v="1487"/>
    <n v="19.149999999999999"/>
    <n v="17.239999999999998"/>
    <n v="33"/>
    <s v="Yes"/>
    <n v="0.72289156626506024"/>
    <n v="25635.88"/>
    <n v="2840.17"/>
    <n v="2.219233355749832E-2"/>
    <n v="0.98"/>
    <n v="9.9738903394255896E-2"/>
  </r>
  <r>
    <s v="Vendor_01"/>
    <x v="0"/>
    <n v="2023"/>
    <s v="MRO"/>
    <x v="1"/>
    <n v="855"/>
    <n v="78.2"/>
    <n v="67.16"/>
    <n v="17"/>
    <s v="Yes"/>
    <n v="0.75886524822695034"/>
    <n v="57421.8"/>
    <n v="9439.2000000000007"/>
    <n v="1.9883040935672516E-2"/>
    <n v="0.94"/>
    <n v="0.14117647058823538"/>
  </r>
  <r>
    <s v="Vendor_04"/>
    <x v="4"/>
    <n v="2022"/>
    <s v="Raw Materials"/>
    <x v="1"/>
    <n v="435"/>
    <n v="17.13"/>
    <n v="15.84"/>
    <n v="8"/>
    <s v="Yes"/>
    <n v="0.72289156626506024"/>
    <n v="6890.4"/>
    <n v="561.15"/>
    <n v="1.8390804597701149E-2"/>
    <n v="0.98"/>
    <n v="7.5306479859894873E-2"/>
  </r>
  <r>
    <s v="Vendor_03"/>
    <x v="1"/>
    <n v="2023"/>
    <s v="MRO"/>
    <x v="1"/>
    <n v="1265"/>
    <n v="90.26"/>
    <n v="79.47"/>
    <n v="187"/>
    <s v="Yes"/>
    <n v="0.70175438596491224"/>
    <n v="100529.55"/>
    <n v="13649.35"/>
    <n v="0.14782608695652175"/>
    <n v="0.61"/>
    <n v="0.11954354088189681"/>
  </r>
  <r>
    <s v="Vendor_04"/>
    <x v="4"/>
    <n v="2023"/>
    <s v="MRO"/>
    <x v="1"/>
    <n v="1005"/>
    <n v="80.55"/>
    <n v="73.31"/>
    <n v="30"/>
    <s v="Yes"/>
    <n v="0.72289156626506024"/>
    <n v="73676.55"/>
    <n v="7276.2"/>
    <n v="2.9850746268656716E-2"/>
    <n v="0.98"/>
    <n v="8.9882060831781435E-2"/>
  </r>
  <r>
    <s v="Vendor_05"/>
    <x v="2"/>
    <n v="2022"/>
    <s v="Electronics"/>
    <x v="1"/>
    <n v="326"/>
    <n v="18.100000000000001"/>
    <n v="15.92"/>
    <n v="55"/>
    <s v="No"/>
    <n v="0.72027972027972031"/>
    <n v="5189.92"/>
    <n v="710.68"/>
    <n v="0.16871165644171779"/>
    <n v="0.14000000000000001"/>
    <n v="0.12044198895027632"/>
  </r>
  <r>
    <s v="Vendor_01"/>
    <x v="0"/>
    <n v="2022"/>
    <s v="Office Supplies"/>
    <x v="1"/>
    <n v="1234"/>
    <n v="17.64"/>
    <n v="15.66"/>
    <n v="26"/>
    <s v="Yes"/>
    <n v="0.75886524822695034"/>
    <n v="19324.439999999999"/>
    <n v="2443.3200000000002"/>
    <n v="2.1069692058346839E-2"/>
    <n v="0.94"/>
    <n v="0.1122448979591837"/>
  </r>
  <r>
    <s v="Vendor_04"/>
    <x v="4"/>
    <n v="2022"/>
    <s v="MRO"/>
    <x v="1"/>
    <n v="509"/>
    <n v="101.27"/>
    <n v="97.82"/>
    <n v="19"/>
    <s v="Yes"/>
    <n v="0.72289156626506024"/>
    <n v="49790.38"/>
    <n v="1756.05"/>
    <n v="3.732809430255403E-2"/>
    <n v="0.98"/>
    <n v="3.4067344722030247E-2"/>
  </r>
  <r>
    <s v="Vendor_01"/>
    <x v="0"/>
    <n v="2023"/>
    <s v="Packaging"/>
    <x v="1"/>
    <n v="1387"/>
    <n v="48.71"/>
    <n v="43.71"/>
    <n v="27"/>
    <s v="Yes"/>
    <n v="0.75886524822695034"/>
    <n v="60625.77"/>
    <n v="6935"/>
    <n v="1.9466474405191059E-2"/>
    <n v="0.94"/>
    <n v="0.10264832683227264"/>
  </r>
  <r>
    <s v="Vendor_01"/>
    <x v="0"/>
    <n v="2023"/>
    <s v="MRO"/>
    <x v="1"/>
    <n v="71"/>
    <n v="46.39"/>
    <n v="43.18"/>
    <n v="0"/>
    <s v="Yes"/>
    <n v="0.75886524822695034"/>
    <n v="3065.78"/>
    <n v="227.91"/>
    <n v="0"/>
    <n v="0.94"/>
    <n v="6.919594740245745E-2"/>
  </r>
  <r>
    <s v="Vendor_04"/>
    <x v="4"/>
    <n v="2022"/>
    <s v="Office Supplies"/>
    <x v="1"/>
    <n v="302"/>
    <n v="87.73"/>
    <n v="81.52"/>
    <n v="9"/>
    <s v="Yes"/>
    <n v="0.72289156626506024"/>
    <n v="24619.040000000001"/>
    <n v="1875.42"/>
    <n v="2.9801324503311258E-2"/>
    <n v="0.98"/>
    <n v="7.0785364185569452E-2"/>
  </r>
  <r>
    <s v="Vendor_04"/>
    <x v="4"/>
    <n v="2022"/>
    <s v="Office Supplies"/>
    <x v="3"/>
    <n v="797"/>
    <n v="99.54"/>
    <n v="91.37"/>
    <n v="18"/>
    <s v="Yes"/>
    <n v="0.10843373493975904"/>
    <n v="72821.89"/>
    <n v="6511.49"/>
    <n v="2.258469259723965E-2"/>
    <n v="0.98"/>
    <n v="8.2077556761101081E-2"/>
  </r>
  <r>
    <s v="Vendor_02"/>
    <x v="3"/>
    <n v="2022"/>
    <s v="Office Supplies"/>
    <x v="3"/>
    <n v="906"/>
    <n v="101.21"/>
    <n v="90.9"/>
    <n v="94"/>
    <s v="Yes"/>
    <n v="0.12179487179487179"/>
    <n v="82355.399999999994"/>
    <n v="9340.86"/>
    <n v="0.10375275938189846"/>
    <n v="0.76"/>
    <n v="0.10186740440667907"/>
  </r>
  <r>
    <s v="Vendor_04"/>
    <x v="4"/>
    <n v="2022"/>
    <s v="Office Supplies"/>
    <x v="1"/>
    <n v="1634"/>
    <n v="80.53"/>
    <n v="76.150000000000006"/>
    <n v="50"/>
    <s v="Yes"/>
    <n v="0.72289156626506024"/>
    <n v="124429.1"/>
    <n v="7156.92"/>
    <n v="3.0599755201958383E-2"/>
    <n v="0.98"/>
    <n v="5.4389668446541604E-2"/>
  </r>
  <r>
    <s v="Vendor_04"/>
    <x v="4"/>
    <n v="2022"/>
    <s v="Office Supplies"/>
    <x v="1"/>
    <n v="524"/>
    <n v="46.28"/>
    <n v="39.65"/>
    <n v="14"/>
    <s v="Yes"/>
    <n v="0.72289156626506024"/>
    <n v="20776.599999999999"/>
    <n v="3474.12"/>
    <n v="2.6717557251908396E-2"/>
    <n v="0.98"/>
    <n v="0.14325842696629218"/>
  </r>
  <r>
    <s v="Vendor_02"/>
    <x v="3"/>
    <n v="2022"/>
    <s v="Electronics"/>
    <x v="1"/>
    <n v="1132"/>
    <n v="17.78"/>
    <n v="15.36"/>
    <n v="96"/>
    <s v="Yes"/>
    <n v="0.70512820512820518"/>
    <n v="17387.52"/>
    <n v="2739.44"/>
    <n v="8.4805653710247356E-2"/>
    <n v="0.76"/>
    <n v="0.13610798650168737"/>
  </r>
  <r>
    <s v="Vendor_02"/>
    <x v="3"/>
    <n v="2022"/>
    <s v="Office Supplies"/>
    <x v="1"/>
    <n v="560"/>
    <n v="81.14"/>
    <n v="77.87"/>
    <n v="34"/>
    <s v="No"/>
    <n v="0.70512820512820518"/>
    <n v="43607.199999999997"/>
    <n v="1831.2"/>
    <n v="6.0714285714285714E-2"/>
    <n v="0.24"/>
    <n v="4.030071481390185E-2"/>
  </r>
  <r>
    <s v="Vendor_05"/>
    <x v="2"/>
    <n v="2023"/>
    <s v="Electronics"/>
    <x v="1"/>
    <n v="1755"/>
    <n v="63.87"/>
    <n v="58.4"/>
    <n v="85"/>
    <s v="Yes"/>
    <n v="0.72027972027972031"/>
    <n v="102492"/>
    <n v="9599.85"/>
    <n v="4.843304843304843E-2"/>
    <n v="0.86"/>
    <n v="8.5642711758258952E-2"/>
  </r>
  <r>
    <s v="Vendor_04"/>
    <x v="4"/>
    <n v="2022"/>
    <s v="MRO"/>
    <x v="1"/>
    <n v="1549"/>
    <n v="48.9"/>
    <n v="42.42"/>
    <n v="48"/>
    <s v="Yes"/>
    <n v="0.72289156626506024"/>
    <n v="65708.58"/>
    <n v="10037.52"/>
    <n v="3.0987734021949646E-2"/>
    <n v="0.98"/>
    <n v="0.13251533742331281"/>
  </r>
  <r>
    <s v="Vendor_03"/>
    <x v="1"/>
    <n v="2023"/>
    <s v="MRO"/>
    <x v="1"/>
    <n v="749"/>
    <n v="97.07"/>
    <n v="94.16"/>
    <n v="123"/>
    <s v="Yes"/>
    <n v="0.70175438596491224"/>
    <n v="70525.84"/>
    <n v="2179.59"/>
    <n v="0.16421895861148197"/>
    <n v="0.61"/>
    <n v="2.9978366127536796E-2"/>
  </r>
  <r>
    <s v="Vendor_01"/>
    <x v="0"/>
    <n v="2022"/>
    <s v="Electronics"/>
    <x v="1"/>
    <n v="1025"/>
    <n v="21.11"/>
    <n v="19.25"/>
    <n v="15"/>
    <s v="Yes"/>
    <n v="0.75886524822695034"/>
    <n v="19731.25"/>
    <n v="1906.5"/>
    <n v="1.4634146341463415E-2"/>
    <n v="0.94"/>
    <n v="8.8109900521080031E-2"/>
  </r>
  <r>
    <s v="Vendor_02"/>
    <x v="3"/>
    <n v="2023"/>
    <s v="Raw Materials"/>
    <x v="1"/>
    <n v="1856"/>
    <n v="59.77"/>
    <n v="50.81"/>
    <n v="191"/>
    <s v="Yes"/>
    <n v="0.70512820512820518"/>
    <n v="94303.360000000001"/>
    <n v="16629.759999999998"/>
    <n v="0.10290948275862069"/>
    <n v="0.76"/>
    <n v="0.14990798059227037"/>
  </r>
  <r>
    <s v="Vendor_04"/>
    <x v="4"/>
    <n v="2022"/>
    <s v="Office Supplies"/>
    <x v="1"/>
    <n v="239"/>
    <n v="11.46"/>
    <n v="11.28"/>
    <n v="4"/>
    <s v="Yes"/>
    <n v="0.72289156626506024"/>
    <n v="2695.92"/>
    <n v="43.02"/>
    <n v="1.6736401673640166E-2"/>
    <n v="0.98"/>
    <n v="1.5706806282722641E-2"/>
  </r>
  <r>
    <s v="Vendor_03"/>
    <x v="1"/>
    <n v="2022"/>
    <s v="Office Supplies"/>
    <x v="3"/>
    <n v="1007"/>
    <n v="52.44"/>
    <n v="46.06"/>
    <n v="167"/>
    <s v="Yes"/>
    <n v="9.9415204678362568E-2"/>
    <n v="46382.42"/>
    <n v="6424.66"/>
    <n v="0.16583912611717974"/>
    <n v="0.61"/>
    <n v="0.12166285278413416"/>
  </r>
  <r>
    <s v="Vendor_01"/>
    <x v="0"/>
    <n v="2023"/>
    <s v="MRO"/>
    <x v="3"/>
    <n v="736"/>
    <n v="16.2"/>
    <n v="15.33"/>
    <n v="18"/>
    <s v="Yes"/>
    <n v="7.8014184397163122E-2"/>
    <n v="11282.88"/>
    <n v="640.32000000000005"/>
    <n v="2.4456521739130436E-2"/>
    <n v="0.94"/>
    <n v="5.3703703703703656E-2"/>
  </r>
  <r>
    <s v="Vendor_04"/>
    <x v="4"/>
    <n v="2023"/>
    <s v="Electronics"/>
    <x v="1"/>
    <n v="1007"/>
    <n v="22.56"/>
    <n v="19.59"/>
    <n v="33"/>
    <s v="Yes"/>
    <n v="0.72289156626506024"/>
    <n v="19727.13"/>
    <n v="2990.79"/>
    <n v="3.2770605759682221E-2"/>
    <n v="0.98"/>
    <n v="0.13164893617021273"/>
  </r>
  <r>
    <s v="Vendor_03"/>
    <x v="1"/>
    <n v="2022"/>
    <s v="Office Supplies"/>
    <x v="1"/>
    <n v="612"/>
    <n v="20.99"/>
    <n v="19.75"/>
    <n v="102"/>
    <s v="Yes"/>
    <n v="0.70175438596491224"/>
    <n v="12087"/>
    <n v="758.88"/>
    <n v="0.16666666666666666"/>
    <n v="0.61"/>
    <n v="5.9075750357312939E-2"/>
  </r>
  <r>
    <s v="Vendor_01"/>
    <x v="0"/>
    <n v="2023"/>
    <s v="MRO"/>
    <x v="3"/>
    <n v="1949"/>
    <n v="72.53"/>
    <n v="63.26"/>
    <n v="48"/>
    <s v="No"/>
    <n v="7.8014184397163122E-2"/>
    <n v="123293.74"/>
    <n v="18067.23"/>
    <n v="2.4628014366341714E-2"/>
    <n v="0.06"/>
    <n v="0.12780918240727979"/>
  </r>
  <r>
    <s v="Vendor_03"/>
    <x v="1"/>
    <n v="2022"/>
    <s v="Office Supplies"/>
    <x v="0"/>
    <n v="1640"/>
    <n v="77.92"/>
    <n v="76.41"/>
    <n v="262"/>
    <s v="No"/>
    <n v="9.3567251461988299E-2"/>
    <n v="125312.4"/>
    <n v="2476.4"/>
    <n v="0.15975609756097561"/>
    <n v="0.39"/>
    <n v="1.937885010266947E-2"/>
  </r>
  <r>
    <s v="Vendor_02"/>
    <x v="3"/>
    <n v="2023"/>
    <s v="Electronics"/>
    <x v="1"/>
    <n v="1317"/>
    <n v="68.13"/>
    <n v="60.52"/>
    <n v="136"/>
    <s v="Yes"/>
    <n v="0.70512820512820518"/>
    <n v="79704.84"/>
    <n v="10022.370000000001"/>
    <n v="0.10326499620349279"/>
    <n v="0.76"/>
    <n v="0.11169822398356073"/>
  </r>
  <r>
    <s v="Vendor_04"/>
    <x v="4"/>
    <n v="2022"/>
    <s v="Raw Materials"/>
    <x v="1"/>
    <n v="881"/>
    <n v="100.94"/>
    <n v="95.05"/>
    <n v="30"/>
    <s v="Yes"/>
    <n v="0.72289156626506024"/>
    <n v="83739.05"/>
    <n v="5189.09"/>
    <n v="3.4052213393870601E-2"/>
    <n v="0.98"/>
    <n v="5.8351495938181105E-2"/>
  </r>
  <r>
    <s v="Vendor_03"/>
    <x v="1"/>
    <n v="2023"/>
    <s v="Packaging"/>
    <x v="1"/>
    <n v="1578"/>
    <n v="48.33"/>
    <n v="42.77"/>
    <n v="206"/>
    <s v="Yes"/>
    <n v="0.70175438596491224"/>
    <n v="67491.06"/>
    <n v="8773.68"/>
    <n v="0.13054499366286437"/>
    <n v="0.61"/>
    <n v="0.11504241671839427"/>
  </r>
  <r>
    <s v="Vendor_03"/>
    <x v="1"/>
    <n v="2023"/>
    <s v="MRO"/>
    <x v="1"/>
    <n v="1204"/>
    <n v="39.29"/>
    <n v="35.44"/>
    <n v="155"/>
    <s v="Yes"/>
    <n v="0.70175438596491224"/>
    <n v="42669.760000000002"/>
    <n v="4635.3999999999996"/>
    <n v="0.12873754152823921"/>
    <n v="0.61"/>
    <n v="9.7989310257062909E-2"/>
  </r>
  <r>
    <s v="Vendor_04"/>
    <x v="4"/>
    <n v="2023"/>
    <s v="MRO"/>
    <x v="3"/>
    <n v="1558"/>
    <n v="93.46"/>
    <n v="91.27"/>
    <n v="39"/>
    <s v="Yes"/>
    <n v="0.10843373493975904"/>
    <n v="142198.66"/>
    <n v="3412.02"/>
    <n v="2.5032092426187421E-2"/>
    <n v="0.98"/>
    <n v="2.3432484485341298E-2"/>
  </r>
  <r>
    <s v="Vendor_01"/>
    <x v="0"/>
    <n v="2023"/>
    <s v="Packaging"/>
    <x v="1"/>
    <n v="1892"/>
    <n v="32.99"/>
    <n v="28.81"/>
    <n v="35"/>
    <s v="Yes"/>
    <n v="0.75886524822695034"/>
    <n v="54508.52"/>
    <n v="7908.56"/>
    <n v="1.849894291754757E-2"/>
    <n v="0.94"/>
    <n v="0.12670506214004254"/>
  </r>
  <r>
    <s v="Vendor_04"/>
    <x v="4"/>
    <n v="2022"/>
    <s v="Packaging"/>
    <x v="1"/>
    <n v="696"/>
    <n v="99.59"/>
    <n v="90.18"/>
    <n v="25"/>
    <s v="Yes"/>
    <n v="0.72289156626506024"/>
    <n v="62765.279999999999"/>
    <n v="6549.36"/>
    <n v="3.5919540229885055E-2"/>
    <n v="0.98"/>
    <n v="9.448739833316594E-2"/>
  </r>
  <r>
    <s v="Vendor_03"/>
    <x v="1"/>
    <n v="2023"/>
    <s v="MRO"/>
    <x v="2"/>
    <n v="70"/>
    <n v="12.37"/>
    <n v="11.04"/>
    <n v="10"/>
    <s v="Yes"/>
    <n v="0.10526315789473684"/>
    <n v="772.8"/>
    <n v="93.1"/>
    <n v="0.14285714285714285"/>
    <n v="0.61"/>
    <n v="0.10751818916734035"/>
  </r>
  <r>
    <s v="Vendor_05"/>
    <x v="2"/>
    <n v="2022"/>
    <s v="Raw Materials"/>
    <x v="1"/>
    <n v="890"/>
    <n v="98.26"/>
    <n v="93.14"/>
    <n v="49"/>
    <s v="Yes"/>
    <n v="0.72027972027972031"/>
    <n v="82894.600000000006"/>
    <n v="4556.8"/>
    <n v="5.5056179775280899E-2"/>
    <n v="0.86"/>
    <n v="5.2106655811113414E-2"/>
  </r>
  <r>
    <s v="Vendor_01"/>
    <x v="0"/>
    <n v="2022"/>
    <s v="MRO"/>
    <x v="1"/>
    <n v="216"/>
    <n v="13.95"/>
    <n v="12.31"/>
    <n v="5"/>
    <s v="Yes"/>
    <n v="0.75886524822695034"/>
    <n v="2658.96"/>
    <n v="354.24"/>
    <n v="2.3148148148148147E-2"/>
    <n v="0.94"/>
    <n v="0.11756272401433683"/>
  </r>
  <r>
    <s v="Vendor_03"/>
    <x v="1"/>
    <n v="2023"/>
    <s v="Packaging"/>
    <x v="1"/>
    <n v="1347"/>
    <n v="100.13"/>
    <n v="94.3"/>
    <n v="200"/>
    <s v="Yes"/>
    <n v="0.70175438596491224"/>
    <n v="127022.1"/>
    <n v="7853.01"/>
    <n v="0.14847809948032664"/>
    <n v="0.61"/>
    <n v="5.822430839908118E-2"/>
  </r>
  <r>
    <s v="Vendor_05"/>
    <x v="2"/>
    <n v="2022"/>
    <s v="Office Supplies"/>
    <x v="2"/>
    <n v="437"/>
    <n v="59.51"/>
    <n v="56.45"/>
    <n v="25"/>
    <s v="No"/>
    <n v="0.12587412587412589"/>
    <n v="24668.65"/>
    <n v="1337.22"/>
    <n v="5.7208237986270026E-2"/>
    <n v="0.14000000000000001"/>
    <n v="5.14199294236262E-2"/>
  </r>
  <r>
    <s v="Vendor_01"/>
    <x v="0"/>
    <n v="2022"/>
    <s v="Electronics"/>
    <x v="1"/>
    <n v="650"/>
    <n v="103.84"/>
    <n v="88.28"/>
    <n v="12"/>
    <s v="Yes"/>
    <n v="0.75886524822695034"/>
    <n v="57382"/>
    <n v="10114"/>
    <n v="1.8461538461538463E-2"/>
    <n v="0.94"/>
    <n v="0.14984591679506937"/>
  </r>
  <r>
    <s v="Vendor_02"/>
    <x v="3"/>
    <n v="2022"/>
    <s v="Office Supplies"/>
    <x v="1"/>
    <n v="365"/>
    <n v="16.809999999999999"/>
    <n v="15.41"/>
    <n v="38"/>
    <s v="Yes"/>
    <n v="0.70512820512820518"/>
    <n v="5624.65"/>
    <n v="511"/>
    <n v="0.10410958904109589"/>
    <n v="0.76"/>
    <n v="8.3283759666864882E-2"/>
  </r>
  <r>
    <s v="Vendor_04"/>
    <x v="4"/>
    <n v="2022"/>
    <s v="Raw Materials"/>
    <x v="0"/>
    <n v="63"/>
    <n v="61.94"/>
    <n v="53.8"/>
    <n v="33"/>
    <s v="Yes"/>
    <n v="8.4337349397590355E-2"/>
    <n v="3389.4"/>
    <n v="512.82000000000005"/>
    <n v="0.52380952380952384"/>
    <n v="0.98"/>
    <n v="0.13141750080723283"/>
  </r>
  <r>
    <s v="Vendor_01"/>
    <x v="0"/>
    <n v="2022"/>
    <s v="MRO"/>
    <x v="1"/>
    <n v="291"/>
    <n v="98.7"/>
    <n v="87.02"/>
    <n v="9"/>
    <s v="Yes"/>
    <n v="0.75886524822695034"/>
    <n v="25322.82"/>
    <n v="3398.88"/>
    <n v="3.0927835051546393E-2"/>
    <n v="0.94"/>
    <n v="0.11833839918946308"/>
  </r>
  <r>
    <s v="Vendor_01"/>
    <x v="0"/>
    <n v="2023"/>
    <s v="MRO"/>
    <x v="0"/>
    <n v="826"/>
    <n v="60.5"/>
    <n v="57.18"/>
    <n v="18"/>
    <s v="Yes"/>
    <n v="9.2198581560283682E-2"/>
    <n v="47230.68"/>
    <n v="2742.32"/>
    <n v="2.1791767554479417E-2"/>
    <n v="0.94"/>
    <n v="5.4876033057851242E-2"/>
  </r>
  <r>
    <s v="Vendor_03"/>
    <x v="1"/>
    <n v="2022"/>
    <s v="Electronics"/>
    <x v="3"/>
    <n v="1419"/>
    <n v="69.64"/>
    <n v="59.28"/>
    <n v="194"/>
    <s v="Yes"/>
    <n v="9.9415204678362568E-2"/>
    <n v="84118.32"/>
    <n v="14700.84"/>
    <n v="0.13671599718111346"/>
    <n v="0.61"/>
    <n v="0.14876507754164273"/>
  </r>
  <r>
    <s v="Vendor_05"/>
    <x v="2"/>
    <n v="2023"/>
    <s v="Office Supplies"/>
    <x v="1"/>
    <n v="614"/>
    <n v="78.06"/>
    <n v="73.95"/>
    <n v="40"/>
    <s v="Yes"/>
    <n v="0.72027972027972031"/>
    <n v="45405.3"/>
    <n v="2523.54"/>
    <n v="6.5146579804560262E-2"/>
    <n v="0.86"/>
    <n v="5.2651806302843961E-2"/>
  </r>
  <r>
    <s v="Vendor_01"/>
    <x v="0"/>
    <n v="2023"/>
    <s v="Electronics"/>
    <x v="1"/>
    <n v="947"/>
    <n v="56.25"/>
    <n v="54.25"/>
    <n v="19"/>
    <s v="Yes"/>
    <n v="0.75886524822695034"/>
    <n v="51374.75"/>
    <n v="1894"/>
    <n v="2.0063357972544878E-2"/>
    <n v="0.94"/>
    <n v="3.5555555555555556E-2"/>
  </r>
  <r>
    <s v="Vendor_04"/>
    <x v="4"/>
    <n v="2023"/>
    <s v="Raw Materials"/>
    <x v="1"/>
    <n v="1413"/>
    <n v="70.47"/>
    <n v="69.650000000000006"/>
    <n v="33"/>
    <s v="Yes"/>
    <n v="0.72289156626506024"/>
    <n v="98415.45"/>
    <n v="1158.6600000000001"/>
    <n v="2.3354564755838639E-2"/>
    <n v="0.98"/>
    <n v="1.1636157230026865E-2"/>
  </r>
  <r>
    <s v="Vendor_01"/>
    <x v="0"/>
    <n v="2022"/>
    <s v="Office Supplies"/>
    <x v="2"/>
    <n v="141"/>
    <n v="64.150000000000006"/>
    <n v="58.32"/>
    <n v="24"/>
    <s v="Yes"/>
    <n v="7.0921985815602842E-2"/>
    <n v="8223.1200000000008"/>
    <n v="822.03"/>
    <n v="0.1702127659574468"/>
    <n v="0.94"/>
    <n v="9.0880748246297813E-2"/>
  </r>
  <r>
    <s v="Vendor_01"/>
    <x v="0"/>
    <n v="2023"/>
    <s v="Office Supplies"/>
    <x v="1"/>
    <n v="1440"/>
    <n v="96.57"/>
    <n v="83.87"/>
    <n v="36"/>
    <s v="Yes"/>
    <n v="0.75886524822695034"/>
    <n v="120772.8"/>
    <n v="18288"/>
    <n v="2.5000000000000001E-2"/>
    <n v="0.94"/>
    <n v="0.13151082116599347"/>
  </r>
  <r>
    <s v="Vendor_03"/>
    <x v="1"/>
    <n v="2022"/>
    <s v="Raw Materials"/>
    <x v="1"/>
    <n v="1005"/>
    <n v="14.87"/>
    <n v="12.79"/>
    <n v="155"/>
    <s v="No"/>
    <n v="0.70175438596491224"/>
    <n v="12853.95"/>
    <n v="2090.4"/>
    <n v="0.15422885572139303"/>
    <n v="0.39"/>
    <n v="0.1398789509078682"/>
  </r>
  <r>
    <s v="Vendor_01"/>
    <x v="0"/>
    <n v="2022"/>
    <s v="MRO"/>
    <x v="1"/>
    <n v="1528"/>
    <n v="36.520000000000003"/>
    <n v="33"/>
    <n v="31"/>
    <s v="No"/>
    <n v="0.75886524822695034"/>
    <n v="50424"/>
    <n v="5378.56"/>
    <n v="2.0287958115183247E-2"/>
    <n v="0.06"/>
    <n v="9.6385542168674773E-2"/>
  </r>
  <r>
    <s v="Vendor_05"/>
    <x v="2"/>
    <n v="2023"/>
    <s v="MRO"/>
    <x v="1"/>
    <n v="1501"/>
    <n v="106.05"/>
    <n v="100.99"/>
    <n v="77"/>
    <s v="No"/>
    <n v="0.72027972027972031"/>
    <n v="151585.99"/>
    <n v="7595.06"/>
    <n v="5.1299133910726186E-2"/>
    <n v="0.14000000000000001"/>
    <n v="4.7713342762847735E-2"/>
  </r>
  <r>
    <s v="Vendor_03"/>
    <x v="1"/>
    <n v="2022"/>
    <s v="Packaging"/>
    <x v="1"/>
    <n v="558"/>
    <n v="94.18"/>
    <n v="81.400000000000006"/>
    <n v="155"/>
    <s v="No"/>
    <n v="0.70175438596491224"/>
    <n v="45421.2"/>
    <n v="7131.24"/>
    <n v="0.27777777777777779"/>
    <n v="0.39"/>
    <n v="0.1356976003397749"/>
  </r>
  <r>
    <s v="Vendor_02"/>
    <x v="3"/>
    <n v="2023"/>
    <s v="MRO"/>
    <x v="1"/>
    <n v="825"/>
    <n v="56.88"/>
    <n v="50.84"/>
    <n v="105"/>
    <s v="Yes"/>
    <n v="0.70512820512820518"/>
    <n v="41943"/>
    <n v="4983"/>
    <n v="0.12727272727272726"/>
    <n v="0.76"/>
    <n v="0.10618846694796059"/>
  </r>
  <r>
    <s v="Vendor_02"/>
    <x v="3"/>
    <n v="2023"/>
    <s v="Electronics"/>
    <x v="0"/>
    <n v="84"/>
    <n v="73.38"/>
    <n v="71.42"/>
    <n v="9"/>
    <s v="Yes"/>
    <n v="8.9743589743589744E-2"/>
    <n v="5999.28"/>
    <n v="164.64"/>
    <n v="0.10714285714285714"/>
    <n v="0.76"/>
    <n v="2.671027527936759E-2"/>
  </r>
  <r>
    <s v="Vendor_03"/>
    <x v="1"/>
    <n v="2023"/>
    <s v="Raw Materials"/>
    <x v="1"/>
    <n v="255"/>
    <n v="38.64"/>
    <n v="33.590000000000003"/>
    <n v="27"/>
    <s v="No"/>
    <n v="0.70175438596491224"/>
    <n v="8565.4500000000007"/>
    <n v="1287.75"/>
    <n v="0.10588235294117647"/>
    <n v="0.39"/>
    <n v="0.13069358178053822"/>
  </r>
  <r>
    <s v="Vendor_05"/>
    <x v="2"/>
    <n v="2022"/>
    <s v="MRO"/>
    <x v="1"/>
    <n v="1154"/>
    <n v="27.2"/>
    <n v="26.07"/>
    <n v="58"/>
    <s v="Yes"/>
    <n v="0.72027972027972031"/>
    <n v="30084.78"/>
    <n v="1304.02"/>
    <n v="5.0259965337954939E-2"/>
    <n v="0.86"/>
    <n v="4.1544117647058787E-2"/>
  </r>
  <r>
    <s v="Vendor_03"/>
    <x v="1"/>
    <n v="2023"/>
    <s v="Office Supplies"/>
    <x v="1"/>
    <n v="1635"/>
    <n v="56.91"/>
    <n v="54.37"/>
    <n v="262"/>
    <s v="No"/>
    <n v="0.70175438596491224"/>
    <n v="88894.95"/>
    <n v="4152.8999999999996"/>
    <n v="0.1602446483180428"/>
    <n v="0.39"/>
    <n v="4.4631874890177461E-2"/>
  </r>
  <r>
    <s v="Vendor_03"/>
    <x v="1"/>
    <n v="2023"/>
    <s v="Raw Materials"/>
    <x v="1"/>
    <n v="1945"/>
    <n v="46.19"/>
    <n v="40.119999999999997"/>
    <n v="278"/>
    <s v="No"/>
    <n v="0.70175438596491224"/>
    <n v="78033.399999999994"/>
    <n v="11806.15"/>
    <n v="0.14293059125964011"/>
    <n v="0.39"/>
    <n v="0.13141372591470016"/>
  </r>
  <r>
    <s v="Vendor_03"/>
    <x v="1"/>
    <n v="2022"/>
    <s v="MRO"/>
    <x v="2"/>
    <n v="1461"/>
    <n v="64.09"/>
    <n v="63.39"/>
    <n v="228"/>
    <s v="No"/>
    <n v="0.10526315789473684"/>
    <n v="92612.79"/>
    <n v="1022.7"/>
    <n v="0.15605749486652978"/>
    <n v="0.39"/>
    <n v="1.0922140739585003E-2"/>
  </r>
  <r>
    <s v="Vendor_03"/>
    <x v="1"/>
    <n v="2023"/>
    <s v="Electronics"/>
    <x v="1"/>
    <n v="1075"/>
    <n v="18.53"/>
    <n v="16.12"/>
    <n v="147"/>
    <s v="Yes"/>
    <n v="0.70175438596491224"/>
    <n v="17329"/>
    <n v="2590.75"/>
    <n v="0.13674418604651162"/>
    <n v="0.61"/>
    <n v="0.1300593631948192"/>
  </r>
  <r>
    <s v="Vendor_01"/>
    <x v="0"/>
    <n v="2022"/>
    <s v="Packaging"/>
    <x v="1"/>
    <n v="1071"/>
    <n v="101.6"/>
    <n v="93.91"/>
    <n v="25"/>
    <s v="Yes"/>
    <n v="0.75886524822695034"/>
    <n v="100577.61"/>
    <n v="8235.99"/>
    <n v="2.3342670401493931E-2"/>
    <n v="0.94"/>
    <n v="7.5688976377952744E-2"/>
  </r>
  <r>
    <s v="Vendor_04"/>
    <x v="4"/>
    <n v="2022"/>
    <s v="Packaging"/>
    <x v="3"/>
    <n v="1463"/>
    <n v="101.23"/>
    <n v="86.17"/>
    <n v="43"/>
    <s v="Yes"/>
    <n v="0.10843373493975904"/>
    <n v="126066.71"/>
    <n v="22032.78"/>
    <n v="2.939166097060834E-2"/>
    <n v="0.98"/>
    <n v="0.14877012743257928"/>
  </r>
  <r>
    <s v="Vendor_02"/>
    <x v="3"/>
    <n v="2023"/>
    <s v="Raw Materials"/>
    <x v="1"/>
    <n v="615"/>
    <n v="78.3"/>
    <n v="73.680000000000007"/>
    <n v="69"/>
    <s v="Yes"/>
    <n v="0.70512820512820518"/>
    <n v="45313.2"/>
    <n v="2841.3"/>
    <n v="0.11219512195121951"/>
    <n v="0.76"/>
    <n v="5.90038314176244E-2"/>
  </r>
  <r>
    <s v="Vendor_05"/>
    <x v="2"/>
    <n v="2023"/>
    <s v="Electronics"/>
    <x v="1"/>
    <n v="1179"/>
    <n v="61.74"/>
    <n v="56.28"/>
    <n v="55"/>
    <s v="Yes"/>
    <n v="0.72027972027972031"/>
    <n v="66354.12"/>
    <n v="6437.34"/>
    <n v="4.6649703138252757E-2"/>
    <n v="0.86"/>
    <n v="8.8435374149659879E-2"/>
  </r>
  <r>
    <s v="Vendor_01"/>
    <x v="0"/>
    <n v="2022"/>
    <s v="Electronics"/>
    <x v="2"/>
    <n v="1845"/>
    <n v="39.56"/>
    <n v="37.630000000000003"/>
    <n v="45"/>
    <s v="Yes"/>
    <n v="7.0921985815602842E-2"/>
    <n v="69427.350000000006"/>
    <n v="3560.85"/>
    <n v="2.4390243902439025E-2"/>
    <n v="0.94"/>
    <n v="4.8786653185035382E-2"/>
  </r>
  <r>
    <s v="Vendor_02"/>
    <x v="3"/>
    <n v="2023"/>
    <s v="Electronics"/>
    <x v="0"/>
    <n v="1895"/>
    <n v="91.98"/>
    <n v="86.27"/>
    <n v="170"/>
    <s v="Yes"/>
    <n v="8.9743589743589744E-2"/>
    <n v="163481.65"/>
    <n v="10820.45"/>
    <n v="8.9709762532981532E-2"/>
    <n v="0.76"/>
    <n v="6.2078712763644357E-2"/>
  </r>
  <r>
    <s v="Vendor_04"/>
    <x v="4"/>
    <n v="2023"/>
    <s v="MRO"/>
    <x v="2"/>
    <n v="1550"/>
    <n v="79.86"/>
    <n v="69.569999999999993"/>
    <n v="32"/>
    <s v="No"/>
    <n v="8.4337349397590355E-2"/>
    <n v="107833.5"/>
    <n v="15949.5"/>
    <n v="2.0645161290322581E-2"/>
    <n v="0.86"/>
    <n v="0.12885048835462065"/>
  </r>
  <r>
    <s v="Vendor_03"/>
    <x v="1"/>
    <n v="2023"/>
    <s v="Packaging"/>
    <x v="1"/>
    <n v="752"/>
    <n v="26.85"/>
    <n v="24.37"/>
    <n v="155"/>
    <s v="No"/>
    <n v="0.70175438596491224"/>
    <n v="18326.240000000002"/>
    <n v="1864.96"/>
    <n v="0.20611702127659576"/>
    <n v="0.39"/>
    <n v="9.2364990689013049E-2"/>
  </r>
  <r>
    <s v="Vendor_04"/>
    <x v="4"/>
    <n v="2022"/>
    <s v="Electronics"/>
    <x v="1"/>
    <n v="451"/>
    <n v="95.2"/>
    <n v="90.07"/>
    <n v="21"/>
    <s v="Yes"/>
    <n v="0.72289156626506024"/>
    <n v="40621.57"/>
    <n v="2313.63"/>
    <n v="4.6563192904656318E-2"/>
    <n v="0.98"/>
    <n v="5.3886554621848839E-2"/>
  </r>
  <r>
    <s v="Vendor_02"/>
    <x v="3"/>
    <n v="2023"/>
    <s v="Office Supplies"/>
    <x v="1"/>
    <n v="779"/>
    <n v="93.69"/>
    <n v="90.92"/>
    <n v="66"/>
    <s v="Yes"/>
    <n v="0.70512820512820518"/>
    <n v="70826.679999999993"/>
    <n v="2157.83"/>
    <n v="8.4724005134788186E-2"/>
    <n v="0.76"/>
    <n v="2.9565588643398401E-2"/>
  </r>
  <r>
    <s v="Vendor_02"/>
    <x v="3"/>
    <n v="2022"/>
    <s v="MRO"/>
    <x v="3"/>
    <n v="1629"/>
    <n v="100.26"/>
    <n v="86.44"/>
    <n v="187"/>
    <s v="No"/>
    <n v="0.12179487179487179"/>
    <n v="140810.76"/>
    <n v="22512.78"/>
    <n v="0.11479435236341314"/>
    <n v="0.24"/>
    <n v="0.13784161180929591"/>
  </r>
  <r>
    <s v="Vendor_01"/>
    <x v="0"/>
    <n v="2022"/>
    <s v="Office Supplies"/>
    <x v="1"/>
    <n v="211"/>
    <n v="75.69"/>
    <n v="65.400000000000006"/>
    <n v="2"/>
    <s v="Yes"/>
    <n v="0.75886524822695034"/>
    <n v="13799.4"/>
    <n v="2171.19"/>
    <n v="9.4786729857819912E-3"/>
    <n v="0.94"/>
    <n v="0.13594926674593727"/>
  </r>
  <r>
    <s v="Vendor_01"/>
    <x v="0"/>
    <n v="2022"/>
    <s v="Office Supplies"/>
    <x v="1"/>
    <n v="251"/>
    <n v="67.489999999999995"/>
    <n v="64.48"/>
    <n v="2"/>
    <s v="Yes"/>
    <n v="0.75886524822695034"/>
    <n v="16184.48"/>
    <n v="755.51"/>
    <n v="7.9681274900398405E-3"/>
    <n v="0.94"/>
    <n v="4.459919988146379E-2"/>
  </r>
  <r>
    <s v="Vendor_05"/>
    <x v="2"/>
    <n v="2022"/>
    <s v="Raw Materials"/>
    <x v="1"/>
    <n v="1045"/>
    <n v="47.88"/>
    <n v="44.65"/>
    <n v="69"/>
    <s v="Yes"/>
    <n v="0.72027972027972031"/>
    <n v="46659.25"/>
    <n v="3375.35"/>
    <n v="6.6028708133971298E-2"/>
    <n v="0.86"/>
    <n v="6.746031746031754E-2"/>
  </r>
  <r>
    <s v="Vendor_03"/>
    <x v="1"/>
    <n v="2022"/>
    <s v="MRO"/>
    <x v="1"/>
    <n v="319"/>
    <n v="98.64"/>
    <n v="89.15"/>
    <n v="57"/>
    <s v="Yes"/>
    <n v="0.70175438596491224"/>
    <n v="28438.85"/>
    <n v="3027.31"/>
    <n v="0.17868338557993729"/>
    <n v="0.61"/>
    <n v="9.620843471208429E-2"/>
  </r>
  <r>
    <s v="Vendor_04"/>
    <x v="4"/>
    <n v="2023"/>
    <s v="Office Supplies"/>
    <x v="2"/>
    <n v="1936"/>
    <n v="93.66"/>
    <n v="92.24"/>
    <n v="58"/>
    <s v="Yes"/>
    <n v="8.4337349397590355E-2"/>
    <n v="178576.64000000001"/>
    <n v="2749.12"/>
    <n v="2.9958677685950414E-2"/>
    <n v="0.98"/>
    <n v="1.5161221439248364E-2"/>
  </r>
  <r>
    <s v="Vendor_03"/>
    <x v="1"/>
    <n v="2022"/>
    <s v="MRO"/>
    <x v="0"/>
    <n v="865"/>
    <n v="14.7"/>
    <n v="13.14"/>
    <n v="135"/>
    <s v="No"/>
    <n v="9.3567251461988299E-2"/>
    <n v="11366.1"/>
    <n v="1349.4"/>
    <n v="0.15606936416184972"/>
    <n v="0.39"/>
    <n v="0.10612244897959175"/>
  </r>
  <r>
    <s v="Vendor_04"/>
    <x v="4"/>
    <n v="2022"/>
    <s v="Electronics"/>
    <x v="1"/>
    <n v="1344"/>
    <n v="12.5"/>
    <n v="10.87"/>
    <n v="44"/>
    <s v="Yes"/>
    <n v="0.72289156626506024"/>
    <n v="14609.28"/>
    <n v="2190.7199999999998"/>
    <n v="3.273809523809524E-2"/>
    <n v="0.98"/>
    <n v="0.13040000000000007"/>
  </r>
  <r>
    <s v="Vendor_03"/>
    <x v="1"/>
    <n v="2022"/>
    <s v="Raw Materials"/>
    <x v="3"/>
    <n v="505"/>
    <n v="45.42"/>
    <n v="40.369999999999997"/>
    <n v="62"/>
    <s v="Yes"/>
    <n v="9.9415204678362568E-2"/>
    <n v="20386.849999999999"/>
    <n v="2550.25"/>
    <n v="0.12277227722772277"/>
    <n v="0.61"/>
    <n v="0.11118450022016742"/>
  </r>
  <r>
    <s v="Vendor_02"/>
    <x v="3"/>
    <n v="2023"/>
    <s v="Packaging"/>
    <x v="1"/>
    <n v="1535"/>
    <n v="90.83"/>
    <n v="78.28"/>
    <n v="151"/>
    <s v="No"/>
    <n v="0.70512820512820518"/>
    <n v="120159.8"/>
    <n v="19264.25"/>
    <n v="9.8371335504885998E-2"/>
    <n v="0.24"/>
    <n v="0.13817020808103048"/>
  </r>
  <r>
    <s v="Vendor_02"/>
    <x v="3"/>
    <n v="2022"/>
    <s v="Office Supplies"/>
    <x v="1"/>
    <n v="1800"/>
    <n v="103.8"/>
    <n v="96.27"/>
    <n v="166"/>
    <s v="Yes"/>
    <n v="0.70512820512820518"/>
    <n v="173286"/>
    <n v="13554"/>
    <n v="9.2222222222222219E-2"/>
    <n v="0.76"/>
    <n v="7.2543352601156089E-2"/>
  </r>
  <r>
    <s v="Vendor_03"/>
    <x v="1"/>
    <n v="2022"/>
    <s v="Raw Materials"/>
    <x v="3"/>
    <n v="1325"/>
    <n v="24.36"/>
    <n v="22.75"/>
    <n v="206"/>
    <s v="Yes"/>
    <n v="9.9415204678362568E-2"/>
    <n v="30143.75"/>
    <n v="2133.25"/>
    <n v="0.15547169811320755"/>
    <n v="0.61"/>
    <n v="6.6091954022988481E-2"/>
  </r>
  <r>
    <s v="Vendor_05"/>
    <x v="2"/>
    <n v="2023"/>
    <s v="Raw Materials"/>
    <x v="1"/>
    <n v="1066"/>
    <n v="70.45"/>
    <n v="65.88"/>
    <n v="56"/>
    <s v="No"/>
    <n v="0.72027972027972031"/>
    <n v="70228.08"/>
    <n v="4871.62"/>
    <n v="5.2532833020637902E-2"/>
    <n v="0.14000000000000001"/>
    <n v="6.4868701206529558E-2"/>
  </r>
  <r>
    <s v="Vendor_02"/>
    <x v="3"/>
    <n v="2023"/>
    <s v="Raw Materials"/>
    <x v="1"/>
    <n v="1775"/>
    <n v="47.82"/>
    <n v="45.86"/>
    <n v="180"/>
    <s v="Yes"/>
    <n v="0.70512820512820518"/>
    <n v="81401.5"/>
    <n v="3479"/>
    <n v="0.10140845070422536"/>
    <n v="0.76"/>
    <n v="4.0987034713509007E-2"/>
  </r>
  <r>
    <s v="Vendor_05"/>
    <x v="2"/>
    <n v="2023"/>
    <s v="Raw Materials"/>
    <x v="2"/>
    <n v="345"/>
    <n v="103.62"/>
    <n v="98.09"/>
    <n v="25"/>
    <s v="No"/>
    <n v="0.12587412587412589"/>
    <n v="33841.050000000003"/>
    <n v="1907.85"/>
    <n v="7.2463768115942032E-2"/>
    <n v="0.14000000000000001"/>
    <n v="5.3368075661069297E-2"/>
  </r>
  <r>
    <s v="Vendor_02"/>
    <x v="3"/>
    <n v="2023"/>
    <s v="Electronics"/>
    <x v="1"/>
    <n v="1798"/>
    <n v="94.8"/>
    <n v="91.83"/>
    <n v="105"/>
    <s v="Yes"/>
    <n v="0.70512820512820518"/>
    <n v="165110.34"/>
    <n v="5340.06"/>
    <n v="5.8398220244716352E-2"/>
    <n v="0.76"/>
    <n v="3.1329113924050619E-2"/>
  </r>
  <r>
    <s v="Vendor_01"/>
    <x v="0"/>
    <n v="2023"/>
    <s v="MRO"/>
    <x v="1"/>
    <n v="769"/>
    <n v="91.86"/>
    <n v="86.55"/>
    <n v="17"/>
    <s v="Yes"/>
    <n v="0.75886524822695034"/>
    <n v="66556.95"/>
    <n v="4083.39"/>
    <n v="2.2106631989596878E-2"/>
    <n v="0.94"/>
    <n v="5.7805355976485985E-2"/>
  </r>
  <r>
    <s v="Vendor_01"/>
    <x v="0"/>
    <n v="2022"/>
    <s v="Packaging"/>
    <x v="1"/>
    <n v="1822"/>
    <n v="53.23"/>
    <n v="47.49"/>
    <n v="39"/>
    <s v="Yes"/>
    <n v="0.75886524822695034"/>
    <n v="86526.78"/>
    <n v="10458.280000000001"/>
    <n v="2.1405049396267837E-2"/>
    <n v="0.94"/>
    <n v="0.10783392823595708"/>
  </r>
  <r>
    <s v="Vendor_03"/>
    <x v="1"/>
    <n v="2022"/>
    <s v="Packaging"/>
    <x v="1"/>
    <n v="387"/>
    <n v="49.23"/>
    <n v="45.41"/>
    <n v="61"/>
    <s v="Yes"/>
    <n v="0.70175438596491224"/>
    <n v="17573.669999999998"/>
    <n v="1478.34"/>
    <n v="0.15762273901808785"/>
    <n v="0.61"/>
    <n v="7.7594962421287841E-2"/>
  </r>
  <r>
    <s v="Vendor_04"/>
    <x v="4"/>
    <n v="2022"/>
    <s v="MRO"/>
    <x v="1"/>
    <n v="928"/>
    <n v="35.299999999999997"/>
    <n v="32.520000000000003"/>
    <n v="26"/>
    <s v="Yes"/>
    <n v="0.72289156626506024"/>
    <n v="30178.560000000001"/>
    <n v="2579.84"/>
    <n v="2.8017241379310345E-2"/>
    <n v="0.98"/>
    <n v="7.8753541076487091E-2"/>
  </r>
  <r>
    <s v="Vendor_01"/>
    <x v="0"/>
    <n v="2022"/>
    <s v="Packaging"/>
    <x v="2"/>
    <n v="1126"/>
    <n v="15.68"/>
    <n v="14.97"/>
    <n v="27"/>
    <s v="Yes"/>
    <n v="7.0921985815602842E-2"/>
    <n v="16856.22"/>
    <n v="799.46"/>
    <n v="2.3978685612788632E-2"/>
    <n v="0.94"/>
    <n v="4.5280612244897898E-2"/>
  </r>
  <r>
    <s v="Vendor_02"/>
    <x v="3"/>
    <n v="2023"/>
    <s v="Raw Materials"/>
    <x v="0"/>
    <n v="841"/>
    <n v="95.73"/>
    <n v="85.33"/>
    <n v="81"/>
    <s v="Yes"/>
    <n v="8.9743589743589744E-2"/>
    <n v="71762.53"/>
    <n v="8746.4"/>
    <n v="9.631391200951249E-2"/>
    <n v="0.76"/>
    <n v="0.10863888018385047"/>
  </r>
  <r>
    <s v="Vendor_02"/>
    <x v="3"/>
    <n v="2023"/>
    <s v="Electronics"/>
    <x v="1"/>
    <n v="1995"/>
    <n v="90.65"/>
    <n v="77.75"/>
    <n v="206"/>
    <s v="Yes"/>
    <n v="0.70512820512820518"/>
    <n v="155111.25"/>
    <n v="25735.5"/>
    <n v="0.10325814536340852"/>
    <n v="0.76"/>
    <n v="0.14230557087699949"/>
  </r>
  <r>
    <s v="Vendor_01"/>
    <x v="0"/>
    <n v="2022"/>
    <s v="Raw Materials"/>
    <x v="1"/>
    <n v="266"/>
    <n v="103.97"/>
    <n v="101.44"/>
    <n v="6"/>
    <s v="Yes"/>
    <n v="0.75886524822695034"/>
    <n v="26983.040000000001"/>
    <n v="672.98"/>
    <n v="2.2556390977443608E-2"/>
    <n v="0.94"/>
    <n v="2.4333942483408685E-2"/>
  </r>
  <r>
    <s v="Vendor_01"/>
    <x v="0"/>
    <n v="2023"/>
    <s v="Raw Materials"/>
    <x v="0"/>
    <n v="813"/>
    <n v="109.17"/>
    <n v="107.39"/>
    <n v="14"/>
    <s v="Yes"/>
    <n v="9.2198581560283682E-2"/>
    <n v="87308.07"/>
    <n v="1447.14"/>
    <n v="1.7220172201722016E-2"/>
    <n v="0.94"/>
    <n v="1.6304845653567841E-2"/>
  </r>
  <r>
    <s v="Vendor_04"/>
    <x v="4"/>
    <n v="2023"/>
    <s v="Electronics"/>
    <x v="1"/>
    <n v="237"/>
    <n v="64.19"/>
    <n v="59.01"/>
    <n v="7"/>
    <s v="Yes"/>
    <n v="0.72289156626506024"/>
    <n v="13985.37"/>
    <n v="1227.6600000000001"/>
    <n v="2.9535864978902954E-2"/>
    <n v="0.98"/>
    <n v="8.0697928026172303E-2"/>
  </r>
  <r>
    <s v="Vendor_01"/>
    <x v="0"/>
    <n v="2023"/>
    <s v="Office Supplies"/>
    <x v="0"/>
    <n v="429"/>
    <n v="86.73"/>
    <n v="75.09"/>
    <n v="9"/>
    <s v="Yes"/>
    <n v="9.2198581560283682E-2"/>
    <n v="32213.61"/>
    <n v="4993.5600000000004"/>
    <n v="2.097902097902098E-2"/>
    <n v="0.94"/>
    <n v="0.13420961604980974"/>
  </r>
  <r>
    <s v="Vendor_03"/>
    <x v="1"/>
    <n v="2023"/>
    <s v="Packaging"/>
    <x v="1"/>
    <n v="542"/>
    <n v="101.21"/>
    <n v="93.11"/>
    <n v="78"/>
    <s v="No"/>
    <n v="0.70175438596491224"/>
    <n v="50465.62"/>
    <n v="4390.2"/>
    <n v="0.14391143911439114"/>
    <n v="0.39"/>
    <n v="8.0031617429107749E-2"/>
  </r>
  <r>
    <s v="Vendor_04"/>
    <x v="4"/>
    <n v="2023"/>
    <s v="Electronics"/>
    <x v="1"/>
    <n v="1114"/>
    <n v="91.66"/>
    <n v="85.53"/>
    <n v="35"/>
    <s v="Yes"/>
    <n v="0.72289156626506024"/>
    <n v="95280.42"/>
    <n v="6828.82"/>
    <n v="3.141831238779174E-2"/>
    <n v="0.98"/>
    <n v="6.6877591097534314E-2"/>
  </r>
  <r>
    <s v="Vendor_01"/>
    <x v="0"/>
    <n v="2022"/>
    <s v="MRO"/>
    <x v="1"/>
    <n v="1230"/>
    <n v="33.39"/>
    <n v="30.85"/>
    <n v="26"/>
    <s v="Yes"/>
    <n v="0.75886524822695034"/>
    <n v="37945.5"/>
    <n v="3124.2"/>
    <n v="2.113821138211382E-2"/>
    <n v="0.94"/>
    <n v="7.607067984426473E-2"/>
  </r>
  <r>
    <s v="Vendor_02"/>
    <x v="3"/>
    <n v="2022"/>
    <s v="MRO"/>
    <x v="1"/>
    <n v="64"/>
    <n v="51.56"/>
    <n v="50.88"/>
    <n v="5"/>
    <s v="Yes"/>
    <n v="0.70512820512820518"/>
    <n v="3256.32"/>
    <n v="43.52"/>
    <n v="7.8125E-2"/>
    <n v="0.76"/>
    <n v="1.318851823118696E-2"/>
  </r>
  <r>
    <s v="Vendor_01"/>
    <x v="0"/>
    <n v="2023"/>
    <s v="MRO"/>
    <x v="1"/>
    <n v="1886"/>
    <n v="23.46"/>
    <n v="23.18"/>
    <n v="24"/>
    <s v="Yes"/>
    <n v="0.75886524822695034"/>
    <n v="43717.48"/>
    <n v="528.08000000000004"/>
    <n v="1.2725344644750796E-2"/>
    <n v="0.94"/>
    <n v="1.1935208866155206E-2"/>
  </r>
  <r>
    <s v="Vendor_03"/>
    <x v="1"/>
    <n v="2023"/>
    <s v="Office Supplies"/>
    <x v="1"/>
    <n v="114"/>
    <n v="103.53"/>
    <n v="101.54"/>
    <n v="14"/>
    <s v="Yes"/>
    <n v="0.70175438596491224"/>
    <n v="11575.56"/>
    <n v="226.86"/>
    <n v="0.12280701754385964"/>
    <n v="0.61"/>
    <n v="1.9221481696126676E-2"/>
  </r>
  <r>
    <s v="Vendor_03"/>
    <x v="1"/>
    <n v="2022"/>
    <s v="Electronics"/>
    <x v="0"/>
    <n v="1930"/>
    <n v="65.52"/>
    <n v="56.9"/>
    <n v="282"/>
    <s v="Yes"/>
    <n v="9.3567251461988299E-2"/>
    <n v="109817"/>
    <n v="16636.599999999999"/>
    <n v="0.14611398963730571"/>
    <n v="0.61"/>
    <n v="0.13156288156288154"/>
  </r>
  <r>
    <s v="Vendor_02"/>
    <x v="3"/>
    <n v="2022"/>
    <s v="Office Supplies"/>
    <x v="3"/>
    <n v="1912"/>
    <n v="30.73"/>
    <n v="29.82"/>
    <n v="191"/>
    <s v="Yes"/>
    <n v="0.12179487179487179"/>
    <n v="57015.839999999997"/>
    <n v="1739.92"/>
    <n v="9.9895397489539753E-2"/>
    <n v="0.76"/>
    <n v="2.9612756264236907E-2"/>
  </r>
  <r>
    <s v="Vendor_04"/>
    <x v="4"/>
    <n v="2022"/>
    <s v="MRO"/>
    <x v="1"/>
    <n v="570"/>
    <n v="71.510000000000005"/>
    <n v="66.47"/>
    <n v="33"/>
    <s v="Yes"/>
    <n v="0.72289156626506024"/>
    <n v="37887.9"/>
    <n v="2872.8"/>
    <n v="5.7894736842105263E-2"/>
    <n v="0.98"/>
    <n v="7.0479653195357372E-2"/>
  </r>
  <r>
    <s v="Vendor_02"/>
    <x v="3"/>
    <n v="2022"/>
    <s v="Raw Materials"/>
    <x v="1"/>
    <n v="1417"/>
    <n v="67.27"/>
    <n v="60.62"/>
    <n v="105"/>
    <s v="Yes"/>
    <n v="0.70512820512820518"/>
    <n v="85898.54"/>
    <n v="9423.0499999999993"/>
    <n v="7.4100211714890618E-2"/>
    <n v="0.76"/>
    <n v="9.8855359001040574E-2"/>
  </r>
  <r>
    <s v="Vendor_01"/>
    <x v="0"/>
    <n v="2023"/>
    <s v="Raw Materials"/>
    <x v="1"/>
    <n v="1202"/>
    <n v="46.67"/>
    <n v="44.13"/>
    <n v="21"/>
    <s v="No"/>
    <n v="0.75886524822695034"/>
    <n v="53044.26"/>
    <n v="3053.08"/>
    <n v="1.747088186356073E-2"/>
    <n v="0.06"/>
    <n v="5.442468395114633E-2"/>
  </r>
  <r>
    <s v="Vendor_02"/>
    <x v="3"/>
    <n v="2022"/>
    <s v="Office Supplies"/>
    <x v="1"/>
    <n v="697"/>
    <n v="20.73"/>
    <n v="19.829999999999998"/>
    <n v="78"/>
    <s v="No"/>
    <n v="0.70512820512820518"/>
    <n v="13821.51"/>
    <n v="627.29999999999995"/>
    <n v="0.11190817790530846"/>
    <n v="0.24"/>
    <n v="4.3415340086830782E-2"/>
  </r>
  <r>
    <s v="Vendor_04"/>
    <x v="4"/>
    <n v="2023"/>
    <s v="MRO"/>
    <x v="1"/>
    <n v="1545"/>
    <n v="78.19"/>
    <n v="76.91"/>
    <n v="42"/>
    <s v="Yes"/>
    <n v="0.72289156626506024"/>
    <n v="118825.95"/>
    <n v="1977.6"/>
    <n v="2.7184466019417475E-2"/>
    <n v="0.98"/>
    <n v="1.6370379843969832E-2"/>
  </r>
  <r>
    <s v="Vendor_05"/>
    <x v="2"/>
    <n v="2023"/>
    <s v="MRO"/>
    <x v="2"/>
    <n v="1136"/>
    <n v="60.81"/>
    <n v="58.25"/>
    <n v="62"/>
    <s v="Yes"/>
    <n v="0.12587412587412589"/>
    <n v="66172"/>
    <n v="2908.16"/>
    <n v="5.4577464788732391E-2"/>
    <n v="0.86"/>
    <n v="4.2098339088965667E-2"/>
  </r>
  <r>
    <s v="Vendor_02"/>
    <x v="3"/>
    <n v="2023"/>
    <s v="MRO"/>
    <x v="1"/>
    <n v="1212"/>
    <n v="87.46"/>
    <n v="74.55"/>
    <n v="118"/>
    <s v="No"/>
    <n v="0.70512820512820518"/>
    <n v="90354.6"/>
    <n v="15646.92"/>
    <n v="9.7359735973597358E-2"/>
    <n v="0.24"/>
    <n v="0.14761033615367022"/>
  </r>
  <r>
    <s v="Vendor_04"/>
    <x v="4"/>
    <n v="2022"/>
    <s v="MRO"/>
    <x v="1"/>
    <n v="1572"/>
    <n v="57.38"/>
    <n v="49.32"/>
    <n v="40"/>
    <s v="Yes"/>
    <n v="0.72289156626506024"/>
    <n v="77531.039999999994"/>
    <n v="12670.32"/>
    <n v="2.5445292620865138E-2"/>
    <n v="0.98"/>
    <n v="0.14046706169397005"/>
  </r>
  <r>
    <s v="Vendor_05"/>
    <x v="2"/>
    <n v="2023"/>
    <s v="Electronics"/>
    <x v="1"/>
    <n v="642"/>
    <n v="91.9"/>
    <n v="81.489999999999995"/>
    <n v="26"/>
    <s v="Yes"/>
    <n v="0.72027972027972031"/>
    <n v="52316.58"/>
    <n v="6683.22"/>
    <n v="4.0498442367601244E-2"/>
    <n v="0.86"/>
    <n v="0.11327529923830261"/>
  </r>
  <r>
    <s v="Vendor_04"/>
    <x v="4"/>
    <n v="2023"/>
    <s v="Office Supplies"/>
    <x v="1"/>
    <n v="441"/>
    <n v="63.25"/>
    <n v="54.12"/>
    <n v="16"/>
    <s v="Yes"/>
    <n v="0.72289156626506024"/>
    <n v="23866.92"/>
    <n v="4026.33"/>
    <n v="3.6281179138321996E-2"/>
    <n v="0.98"/>
    <n v="0.14434782608695657"/>
  </r>
  <r>
    <s v="Vendor_04"/>
    <x v="4"/>
    <n v="2023"/>
    <s v="Office Supplies"/>
    <x v="1"/>
    <n v="1748"/>
    <n v="66.53"/>
    <n v="57.11"/>
    <n v="33"/>
    <s v="Yes"/>
    <n v="0.72289156626506024"/>
    <n v="99828.28"/>
    <n v="16466.16"/>
    <n v="1.8878718535469109E-2"/>
    <n v="0.98"/>
    <n v="0.14159026003306782"/>
  </r>
  <r>
    <s v="Vendor_05"/>
    <x v="2"/>
    <n v="2023"/>
    <s v="Electronics"/>
    <x v="3"/>
    <n v="468"/>
    <n v="95.57"/>
    <n v="91.8"/>
    <n v="24"/>
    <s v="Yes"/>
    <n v="0.11188811188811189"/>
    <n v="42962.400000000001"/>
    <n v="1764.36"/>
    <n v="5.128205128205128E-2"/>
    <n v="0.86"/>
    <n v="3.944752537407132E-2"/>
  </r>
  <r>
    <s v="Vendor_02"/>
    <x v="3"/>
    <n v="2023"/>
    <s v="Raw Materials"/>
    <x v="1"/>
    <n v="338"/>
    <n v="50.25"/>
    <n v="46.28"/>
    <n v="49"/>
    <s v="No"/>
    <n v="0.70512820512820518"/>
    <n v="15642.64"/>
    <n v="1341.86"/>
    <n v="0.14497041420118342"/>
    <n v="0.24"/>
    <n v="7.9004975124378082E-2"/>
  </r>
  <r>
    <s v="Vendor_05"/>
    <x v="2"/>
    <n v="2022"/>
    <s v="Office Supplies"/>
    <x v="1"/>
    <n v="428"/>
    <n v="22.94"/>
    <n v="21.52"/>
    <n v="26"/>
    <s v="Yes"/>
    <n v="0.72027972027972031"/>
    <n v="9210.56"/>
    <n v="607.76"/>
    <n v="6.0747663551401869E-2"/>
    <n v="0.86"/>
    <n v="6.1900610287707131E-2"/>
  </r>
  <r>
    <s v="Vendor_02"/>
    <x v="3"/>
    <n v="2023"/>
    <s v="Packaging"/>
    <x v="1"/>
    <n v="1846"/>
    <n v="13.72"/>
    <n v="12.62"/>
    <n v="216"/>
    <s v="Yes"/>
    <n v="0.70512820512820518"/>
    <n v="23296.52"/>
    <n v="2030.6"/>
    <n v="0.11700975081256772"/>
    <n v="0.76"/>
    <n v="8.0174927113702721E-2"/>
  </r>
  <r>
    <s v="Vendor_04"/>
    <x v="4"/>
    <n v="2022"/>
    <s v="Office Supplies"/>
    <x v="1"/>
    <n v="1563"/>
    <n v="77.959999999999994"/>
    <n v="70.8"/>
    <n v="41"/>
    <s v="Yes"/>
    <n v="0.72289156626506024"/>
    <n v="110660.4"/>
    <n v="11191.08"/>
    <n v="2.6231605886116442E-2"/>
    <n v="0.98"/>
    <n v="9.1841970241149276E-2"/>
  </r>
  <r>
    <s v="Vendor_02"/>
    <x v="3"/>
    <n v="2023"/>
    <s v="Office Supplies"/>
    <x v="1"/>
    <n v="280"/>
    <n v="73.069999999999993"/>
    <n v="69.290000000000006"/>
    <n v="30"/>
    <s v="Yes"/>
    <n v="0.70512820512820518"/>
    <n v="19401.2"/>
    <n v="1058.4000000000001"/>
    <n v="0.10714285714285714"/>
    <n v="0.76"/>
    <n v="5.17312166415764E-2"/>
  </r>
  <r>
    <s v="Vendor_03"/>
    <x v="1"/>
    <n v="2022"/>
    <s v="Raw Materials"/>
    <x v="1"/>
    <n v="1067"/>
    <n v="74.47"/>
    <n v="64.16"/>
    <n v="155"/>
    <s v="No"/>
    <n v="0.70175438596491224"/>
    <n v="68458.720000000001"/>
    <n v="11000.77"/>
    <n v="0.14526710402999063"/>
    <n v="0.39"/>
    <n v="0.13844501141399224"/>
  </r>
  <r>
    <s v="Vendor_05"/>
    <x v="2"/>
    <n v="2023"/>
    <s v="Electronics"/>
    <x v="3"/>
    <n v="90"/>
    <n v="32.380000000000003"/>
    <n v="29.96"/>
    <n v="7"/>
    <s v="Yes"/>
    <n v="0.11188811188811189"/>
    <n v="2696.4"/>
    <n v="217.8"/>
    <n v="7.7777777777777779E-2"/>
    <n v="0.86"/>
    <n v="7.4737492279184733E-2"/>
  </r>
  <r>
    <s v="Vendor_05"/>
    <x v="2"/>
    <n v="2023"/>
    <s v="Raw Materials"/>
    <x v="1"/>
    <n v="1101"/>
    <n v="24.28"/>
    <n v="22.73"/>
    <n v="59"/>
    <s v="No"/>
    <n v="0.72027972027972031"/>
    <n v="25025.73"/>
    <n v="1706.55"/>
    <n v="5.3587647593097185E-2"/>
    <n v="0.14000000000000001"/>
    <n v="6.3838550247117001E-2"/>
  </r>
  <r>
    <s v="Vendor_01"/>
    <x v="0"/>
    <n v="2022"/>
    <s v="Raw Materials"/>
    <x v="1"/>
    <n v="184"/>
    <n v="11.82"/>
    <n v="10.51"/>
    <n v="4"/>
    <s v="Yes"/>
    <n v="0.75886524822695034"/>
    <n v="1933.84"/>
    <n v="241.04"/>
    <n v="2.1739130434782608E-2"/>
    <n v="0.94"/>
    <n v="0.11082910321489006"/>
  </r>
  <r>
    <s v="Vendor_04"/>
    <x v="4"/>
    <n v="2023"/>
    <s v="Electronics"/>
    <x v="1"/>
    <n v="250"/>
    <n v="45.92"/>
    <n v="41.02"/>
    <n v="3"/>
    <s v="Yes"/>
    <n v="0.72289156626506024"/>
    <n v="10255"/>
    <n v="1225"/>
    <n v="1.2E-2"/>
    <n v="0.98"/>
    <n v="0.1067073170731707"/>
  </r>
  <r>
    <s v="Vendor_04"/>
    <x v="4"/>
    <n v="2022"/>
    <s v="Packaging"/>
    <x v="0"/>
    <n v="1913"/>
    <n v="66.56"/>
    <n v="61.34"/>
    <n v="61"/>
    <s v="Yes"/>
    <n v="8.4337349397590355E-2"/>
    <n v="117343.42"/>
    <n v="9985.86"/>
    <n v="3.1887088342916883E-2"/>
    <n v="0.98"/>
    <n v="7.8425480769230754E-2"/>
  </r>
  <r>
    <s v="Vendor_02"/>
    <x v="3"/>
    <n v="2022"/>
    <s v="Electronics"/>
    <x v="1"/>
    <n v="829"/>
    <n v="45.98"/>
    <n v="40.39"/>
    <n v="105"/>
    <s v="Yes"/>
    <n v="0.70512820512820518"/>
    <n v="33483.31"/>
    <n v="4634.1099999999997"/>
    <n v="0.12665862484921592"/>
    <n v="0.76"/>
    <n v="0.1215745976511526"/>
  </r>
  <r>
    <s v="Vendor_03"/>
    <x v="1"/>
    <n v="2022"/>
    <s v="Raw Materials"/>
    <x v="1"/>
    <n v="979"/>
    <n v="51.59"/>
    <n v="49.69"/>
    <n v="148"/>
    <s v="Yes"/>
    <n v="0.70175438596491224"/>
    <n v="48646.51"/>
    <n v="1860.1"/>
    <n v="0.15117466802860061"/>
    <n v="0.61"/>
    <n v="3.6828842798992158E-2"/>
  </r>
  <r>
    <s v="Vendor_04"/>
    <x v="4"/>
    <n v="2023"/>
    <s v="Electronics"/>
    <x v="2"/>
    <n v="1106"/>
    <n v="97.77"/>
    <n v="90.45"/>
    <n v="31"/>
    <s v="Yes"/>
    <n v="8.4337349397590355E-2"/>
    <n v="100037.7"/>
    <n v="8095.92"/>
    <n v="2.8028933092224231E-2"/>
    <n v="0.98"/>
    <n v="7.4869591899355561E-2"/>
  </r>
  <r>
    <s v="Vendor_03"/>
    <x v="1"/>
    <n v="2022"/>
    <s v="Office Supplies"/>
    <x v="3"/>
    <n v="1121"/>
    <n v="42.38"/>
    <n v="38.340000000000003"/>
    <n v="152"/>
    <s v="Yes"/>
    <n v="9.9415204678362568E-2"/>
    <n v="42979.14"/>
    <n v="4528.84"/>
    <n v="0.13559322033898305"/>
    <n v="0.61"/>
    <n v="9.5327984898537013E-2"/>
  </r>
  <r>
    <s v="Vendor_01"/>
    <x v="0"/>
    <n v="2023"/>
    <s v="Office Supplies"/>
    <x v="1"/>
    <n v="552"/>
    <n v="60.48"/>
    <n v="56.78"/>
    <n v="10"/>
    <s v="Yes"/>
    <n v="0.75886524822695034"/>
    <n v="31342.560000000001"/>
    <n v="2042.4"/>
    <n v="1.8115942028985508E-2"/>
    <n v="0.94"/>
    <n v="6.1177248677248608E-2"/>
  </r>
  <r>
    <s v="Vendor_05"/>
    <x v="2"/>
    <n v="2022"/>
    <s v="Packaging"/>
    <x v="1"/>
    <n v="456"/>
    <n v="80.53"/>
    <n v="77.86"/>
    <n v="26"/>
    <s v="Yes"/>
    <n v="0.72027972027972031"/>
    <n v="35504.160000000003"/>
    <n v="1217.52"/>
    <n v="5.701754385964912E-2"/>
    <n v="0.86"/>
    <n v="3.3155345833850762E-2"/>
  </r>
  <r>
    <s v="Vendor_03"/>
    <x v="1"/>
    <n v="2022"/>
    <s v="Packaging"/>
    <x v="1"/>
    <n v="1647"/>
    <n v="47.52"/>
    <n v="44.92"/>
    <n v="155"/>
    <s v="Yes"/>
    <n v="0.70175438596491224"/>
    <n v="73983.240000000005"/>
    <n v="4282.2"/>
    <n v="9.4110503946569515E-2"/>
    <n v="0.61"/>
    <n v="5.4713804713804742E-2"/>
  </r>
  <r>
    <s v="Vendor_04"/>
    <x v="4"/>
    <n v="2023"/>
    <s v="Electronics"/>
    <x v="3"/>
    <n v="1801"/>
    <n v="71.27"/>
    <n v="61.24"/>
    <n v="43"/>
    <s v="Yes"/>
    <n v="0.10843373493975904"/>
    <n v="110293.24"/>
    <n v="18064.03"/>
    <n v="2.3875624652970572E-2"/>
    <n v="0.98"/>
    <n v="0.14073242598568816"/>
  </r>
  <r>
    <s v="Vendor_05"/>
    <x v="2"/>
    <n v="2022"/>
    <s v="Electronics"/>
    <x v="1"/>
    <n v="854"/>
    <n v="90.24"/>
    <n v="85.53"/>
    <n v="55"/>
    <s v="Yes"/>
    <n v="0.72027972027972031"/>
    <n v="73042.62"/>
    <n v="4022.34"/>
    <n v="6.4402810304449651E-2"/>
    <n v="0.86"/>
    <n v="5.2194148936170144E-2"/>
  </r>
  <r>
    <s v="Vendor_03"/>
    <x v="1"/>
    <n v="2023"/>
    <s v="Electronics"/>
    <x v="1"/>
    <n v="148"/>
    <n v="103.57"/>
    <n v="98.62"/>
    <n v="23"/>
    <s v="No"/>
    <n v="0.70175438596491224"/>
    <n v="14595.76"/>
    <n v="732.6"/>
    <n v="0.1554054054054054"/>
    <n v="0.39"/>
    <n v="4.7793762672588481E-2"/>
  </r>
  <r>
    <s v="Vendor_03"/>
    <x v="1"/>
    <n v="2022"/>
    <s v="MRO"/>
    <x v="1"/>
    <n v="733"/>
    <n v="23.59"/>
    <n v="22.85"/>
    <n v="92"/>
    <s v="Yes"/>
    <n v="0.70175438596491224"/>
    <n v="16749.05"/>
    <n v="542.41999999999996"/>
    <n v="0.12551159618008187"/>
    <n v="0.61"/>
    <n v="3.1369224247562458E-2"/>
  </r>
  <r>
    <s v="Vendor_02"/>
    <x v="3"/>
    <n v="2023"/>
    <s v="Raw Materials"/>
    <x v="1"/>
    <n v="1945"/>
    <n v="103.2"/>
    <n v="88.56"/>
    <n v="105"/>
    <s v="Yes"/>
    <n v="0.70512820512820518"/>
    <n v="172249.2"/>
    <n v="28474.799999999999"/>
    <n v="5.3984575835475578E-2"/>
    <n v="0.76"/>
    <n v="0.14186046511627906"/>
  </r>
  <r>
    <s v="Vendor_05"/>
    <x v="2"/>
    <n v="2022"/>
    <s v="Raw Materials"/>
    <x v="1"/>
    <n v="775"/>
    <n v="57"/>
    <n v="49.14"/>
    <n v="48"/>
    <s v="Yes"/>
    <n v="0.72027972027972031"/>
    <n v="38083.5"/>
    <n v="6091.5"/>
    <n v="6.1935483870967742E-2"/>
    <n v="0.86"/>
    <n v="0.13789473684210526"/>
  </r>
  <r>
    <s v="Vendor_03"/>
    <x v="1"/>
    <n v="2023"/>
    <s v="Packaging"/>
    <x v="1"/>
    <n v="1620"/>
    <n v="36.729999999999997"/>
    <n v="33.450000000000003"/>
    <n v="235"/>
    <s v="No"/>
    <n v="0.70175438596491224"/>
    <n v="54189"/>
    <n v="5313.6"/>
    <n v="0.14506172839506173"/>
    <n v="0.39"/>
    <n v="8.9300299482711523E-2"/>
  </r>
  <r>
    <s v="Vendor_02"/>
    <x v="3"/>
    <n v="2023"/>
    <s v="Office Supplies"/>
    <x v="1"/>
    <n v="1010"/>
    <n v="55.68"/>
    <n v="50.86"/>
    <n v="105"/>
    <s v="Yes"/>
    <n v="0.70512820512820518"/>
    <n v="51368.6"/>
    <n v="4868.2"/>
    <n v="0.10396039603960396"/>
    <n v="0.76"/>
    <n v="8.6566091954022997E-2"/>
  </r>
  <r>
    <s v="Vendor_04"/>
    <x v="4"/>
    <n v="2023"/>
    <s v="Office Supplies"/>
    <x v="1"/>
    <n v="1812"/>
    <n v="108.02"/>
    <n v="101.02"/>
    <n v="51"/>
    <s v="Yes"/>
    <n v="0.72289156626506024"/>
    <n v="183048.24"/>
    <n v="12684"/>
    <n v="2.8145695364238412E-2"/>
    <n v="0.98"/>
    <n v="6.4802814293649327E-2"/>
  </r>
  <r>
    <s v="Vendor_03"/>
    <x v="1"/>
    <n v="2022"/>
    <s v="Office Supplies"/>
    <x v="1"/>
    <n v="662"/>
    <n v="55.97"/>
    <n v="50"/>
    <n v="100"/>
    <s v="Yes"/>
    <n v="0.70175438596491224"/>
    <n v="33100"/>
    <n v="3952.14"/>
    <n v="0.15105740181268881"/>
    <n v="0.61"/>
    <n v="0.10666428443809181"/>
  </r>
  <r>
    <s v="Vendor_02"/>
    <x v="3"/>
    <n v="2022"/>
    <s v="Office Supplies"/>
    <x v="3"/>
    <n v="1535"/>
    <n v="40.58"/>
    <n v="38.71"/>
    <n v="165"/>
    <s v="Yes"/>
    <n v="0.12179487179487179"/>
    <n v="59419.85"/>
    <n v="2870.45"/>
    <n v="0.10749185667752444"/>
    <n v="0.76"/>
    <n v="4.6081813701330646E-2"/>
  </r>
  <r>
    <s v="Vendor_02"/>
    <x v="3"/>
    <n v="2023"/>
    <s v="Raw Materials"/>
    <x v="1"/>
    <n v="692"/>
    <n v="71.03"/>
    <n v="67.739999999999995"/>
    <n v="70"/>
    <s v="Yes"/>
    <n v="0.70512820512820518"/>
    <n v="46876.08"/>
    <n v="2276.6799999999998"/>
    <n v="0.10115606936416185"/>
    <n v="0.76"/>
    <n v="4.6318456990004309E-2"/>
  </r>
  <r>
    <s v="Vendor_05"/>
    <x v="2"/>
    <n v="2022"/>
    <s v="MRO"/>
    <x v="1"/>
    <n v="1842"/>
    <n v="32.4"/>
    <n v="28.08"/>
    <n v="96"/>
    <s v="Yes"/>
    <n v="0.72027972027972031"/>
    <n v="51723.360000000001"/>
    <n v="7957.44"/>
    <n v="5.2117263843648211E-2"/>
    <n v="0.86"/>
    <n v="0.13333333333333336"/>
  </r>
  <r>
    <s v="Vendor_02"/>
    <x v="3"/>
    <n v="2023"/>
    <s v="Office Supplies"/>
    <x v="0"/>
    <n v="1078"/>
    <n v="18.34"/>
    <n v="17.41"/>
    <n v="102"/>
    <s v="Yes"/>
    <n v="8.9743589743589744E-2"/>
    <n v="18767.98"/>
    <n v="1002.54"/>
    <n v="9.4619666048237475E-2"/>
    <n v="0.76"/>
    <n v="5.0708833151581229E-2"/>
  </r>
  <r>
    <s v="Vendor_03"/>
    <x v="1"/>
    <n v="2023"/>
    <s v="Packaging"/>
    <x v="1"/>
    <n v="1291"/>
    <n v="23.44"/>
    <n v="22.23"/>
    <n v="155"/>
    <s v="Yes"/>
    <n v="0.70175438596491224"/>
    <n v="28698.93"/>
    <n v="1562.11"/>
    <n v="0.12006196746707978"/>
    <n v="0.61"/>
    <n v="5.1621160409556346E-2"/>
  </r>
  <r>
    <s v="Vendor_01"/>
    <x v="0"/>
    <n v="2022"/>
    <s v="Electronics"/>
    <x v="1"/>
    <n v="552"/>
    <n v="21.52"/>
    <n v="18.79"/>
    <n v="13"/>
    <s v="Yes"/>
    <n v="0.75886524822695034"/>
    <n v="10372.08"/>
    <n v="1506.96"/>
    <n v="2.355072463768116E-2"/>
    <n v="0.94"/>
    <n v="0.12685873605947959"/>
  </r>
  <r>
    <s v="Vendor_04"/>
    <x v="4"/>
    <n v="2023"/>
    <s v="Electronics"/>
    <x v="1"/>
    <n v="816"/>
    <n v="26.04"/>
    <n v="25.61"/>
    <n v="28"/>
    <s v="Yes"/>
    <n v="0.72289156626506024"/>
    <n v="20897.759999999998"/>
    <n v="350.88"/>
    <n v="3.4313725490196081E-2"/>
    <n v="0.98"/>
    <n v="1.6513056835637471E-2"/>
  </r>
  <r>
    <s v="Vendor_03"/>
    <x v="1"/>
    <n v="2022"/>
    <s v="Packaging"/>
    <x v="1"/>
    <n v="447"/>
    <n v="23.62"/>
    <n v="21.81"/>
    <n v="50"/>
    <s v="Yes"/>
    <n v="0.70175438596491224"/>
    <n v="9749.07"/>
    <n v="809.07"/>
    <n v="0.11185682326621924"/>
    <n v="0.61"/>
    <n v="7.6629974597798564E-2"/>
  </r>
  <r>
    <s v="Vendor_03"/>
    <x v="1"/>
    <n v="2023"/>
    <s v="Packaging"/>
    <x v="2"/>
    <n v="920"/>
    <n v="73.09"/>
    <n v="70.14"/>
    <n v="155"/>
    <s v="Yes"/>
    <n v="0.10526315789473684"/>
    <n v="64528.800000000003"/>
    <n v="2714"/>
    <n v="0.16847826086956522"/>
    <n v="0.61"/>
    <n v="4.0361198522369718E-2"/>
  </r>
  <r>
    <s v="Vendor_04"/>
    <x v="4"/>
    <n v="2022"/>
    <s v="Packaging"/>
    <x v="2"/>
    <n v="844"/>
    <n v="26.37"/>
    <n v="25.08"/>
    <n v="38"/>
    <s v="Yes"/>
    <n v="8.4337349397590355E-2"/>
    <n v="21167.52"/>
    <n v="1088.76"/>
    <n v="4.5023696682464455E-2"/>
    <n v="0.98"/>
    <n v="4.8919226393629223E-2"/>
  </r>
  <r>
    <s v="Vendor_04"/>
    <x v="4"/>
    <n v="2022"/>
    <s v="MRO"/>
    <x v="1"/>
    <n v="442"/>
    <n v="41.73"/>
    <n v="36.450000000000003"/>
    <n v="15"/>
    <s v="Yes"/>
    <n v="0.72289156626506024"/>
    <n v="16110.9"/>
    <n v="2333.7600000000002"/>
    <n v="3.3936651583710405E-2"/>
    <n v="0.98"/>
    <n v="0.12652767792954694"/>
  </r>
  <r>
    <s v="Vendor_02"/>
    <x v="3"/>
    <n v="2023"/>
    <s v="Electronics"/>
    <x v="0"/>
    <n v="256"/>
    <n v="96.15"/>
    <n v="83.44"/>
    <n v="26"/>
    <s v="Yes"/>
    <n v="8.9743589743589744E-2"/>
    <n v="21360.639999999999"/>
    <n v="3253.76"/>
    <n v="0.1015625"/>
    <n v="0.76"/>
    <n v="0.13218928757150294"/>
  </r>
  <r>
    <s v="Vendor_03"/>
    <x v="1"/>
    <n v="2022"/>
    <s v="MRO"/>
    <x v="2"/>
    <n v="1088"/>
    <n v="55.29"/>
    <n v="53.04"/>
    <n v="161"/>
    <s v="No"/>
    <n v="0.10526315789473684"/>
    <n v="57707.519999999997"/>
    <n v="2448"/>
    <n v="0.14797794117647059"/>
    <n v="0.39"/>
    <n v="4.0694519804666304E-2"/>
  </r>
  <r>
    <s v="Vendor_02"/>
    <x v="3"/>
    <n v="2022"/>
    <s v="Office Supplies"/>
    <x v="1"/>
    <n v="1931"/>
    <n v="72.88"/>
    <n v="64.69"/>
    <n v="187"/>
    <s v="Yes"/>
    <n v="0.70512820512820518"/>
    <n v="124916.39"/>
    <n v="15814.89"/>
    <n v="9.6841015018125323E-2"/>
    <n v="0.76"/>
    <n v="0.11237650933040612"/>
  </r>
  <r>
    <s v="Vendor_05"/>
    <x v="2"/>
    <n v="2022"/>
    <s v="Electronics"/>
    <x v="1"/>
    <n v="1627"/>
    <n v="25.76"/>
    <n v="25.09"/>
    <n v="74"/>
    <s v="Yes"/>
    <n v="0.72027972027972031"/>
    <n v="40821.43"/>
    <n v="1090.0899999999999"/>
    <n v="4.5482483097725873E-2"/>
    <n v="0.86"/>
    <n v="2.6009316770186398E-2"/>
  </r>
  <r>
    <s v="Vendor_02"/>
    <x v="3"/>
    <n v="2022"/>
    <s v="Packaging"/>
    <x v="1"/>
    <n v="941"/>
    <n v="28.4"/>
    <n v="27.21"/>
    <n v="105"/>
    <s v="No"/>
    <n v="0.70512820512820518"/>
    <n v="25604.61"/>
    <n v="1119.79"/>
    <n v="0.11158342189160468"/>
    <n v="0.24"/>
    <n v="4.1901408450704149E-2"/>
  </r>
  <r>
    <s v="Vendor_05"/>
    <x v="2"/>
    <n v="2023"/>
    <s v="MRO"/>
    <x v="1"/>
    <n v="1534"/>
    <n v="14.98"/>
    <n v="12.79"/>
    <n v="55"/>
    <s v="Yes"/>
    <n v="0.72027972027972031"/>
    <n v="19619.86"/>
    <n v="3359.46"/>
    <n v="3.5853976531942632E-2"/>
    <n v="0.86"/>
    <n v="0.14619492656875843"/>
  </r>
  <r>
    <s v="Vendor_01"/>
    <x v="0"/>
    <n v="2022"/>
    <s v="Raw Materials"/>
    <x v="1"/>
    <n v="1764"/>
    <n v="25.46"/>
    <n v="24.52"/>
    <n v="46"/>
    <s v="Yes"/>
    <n v="0.75886524822695034"/>
    <n v="43253.279999999999"/>
    <n v="1658.16"/>
    <n v="2.6077097505668934E-2"/>
    <n v="0.94"/>
    <n v="3.6920659858601775E-2"/>
  </r>
  <r>
    <s v="Vendor_03"/>
    <x v="1"/>
    <n v="2022"/>
    <s v="Electronics"/>
    <x v="1"/>
    <n v="1648"/>
    <n v="35.42"/>
    <n v="31.46"/>
    <n v="155"/>
    <s v="No"/>
    <n v="0.70175438596491224"/>
    <n v="51846.080000000002"/>
    <n v="6526.08"/>
    <n v="9.4053398058252427E-2"/>
    <n v="0.39"/>
    <n v="0.11180124223602486"/>
  </r>
  <r>
    <s v="Vendor_05"/>
    <x v="2"/>
    <n v="2023"/>
    <s v="Packaging"/>
    <x v="1"/>
    <n v="913"/>
    <n v="28.01"/>
    <n v="24.06"/>
    <n v="53"/>
    <s v="Yes"/>
    <n v="0.72027972027972031"/>
    <n v="21966.78"/>
    <n v="3606.35"/>
    <n v="5.8050383351588172E-2"/>
    <n v="0.86"/>
    <n v="0.14102106390574803"/>
  </r>
  <r>
    <s v="Vendor_01"/>
    <x v="0"/>
    <n v="2022"/>
    <s v="Packaging"/>
    <x v="0"/>
    <n v="792"/>
    <n v="18.16"/>
    <n v="17.25"/>
    <n v="17"/>
    <s v="Yes"/>
    <n v="9.2198581560283682E-2"/>
    <n v="13662"/>
    <n v="720.72"/>
    <n v="2.1464646464646464E-2"/>
    <n v="0.94"/>
    <n v="5.0110132158590316E-2"/>
  </r>
  <r>
    <s v="Vendor_04"/>
    <x v="4"/>
    <n v="2023"/>
    <s v="Office Supplies"/>
    <x v="2"/>
    <n v="1314"/>
    <n v="22.63"/>
    <n v="21.06"/>
    <n v="44"/>
    <s v="Yes"/>
    <n v="8.4337349397590355E-2"/>
    <n v="27672.84"/>
    <n v="2062.98"/>
    <n v="3.3485540334855401E-2"/>
    <n v="0.98"/>
    <n v="6.9376933274414507E-2"/>
  </r>
  <r>
    <s v="Vendor_02"/>
    <x v="3"/>
    <n v="2022"/>
    <s v="MRO"/>
    <x v="1"/>
    <n v="613"/>
    <n v="52.5"/>
    <n v="45.19"/>
    <n v="70"/>
    <s v="Yes"/>
    <n v="0.70512820512820518"/>
    <n v="27701.47"/>
    <n v="4481.03"/>
    <n v="0.11419249592169657"/>
    <n v="0.76"/>
    <n v="0.13923809523809527"/>
  </r>
  <r>
    <s v="Vendor_01"/>
    <x v="0"/>
    <n v="2022"/>
    <s v="Office Supplies"/>
    <x v="1"/>
    <n v="1070"/>
    <n v="29.14"/>
    <n v="26.63"/>
    <n v="24"/>
    <s v="Yes"/>
    <n v="0.75886524822695034"/>
    <n v="28494.1"/>
    <n v="2685.7"/>
    <n v="2.2429906542056073E-2"/>
    <n v="0.94"/>
    <n v="8.6135895676046723E-2"/>
  </r>
  <r>
    <s v="Vendor_05"/>
    <x v="2"/>
    <n v="2023"/>
    <s v="Raw Materials"/>
    <x v="2"/>
    <n v="145"/>
    <n v="47.49"/>
    <n v="42.76"/>
    <n v="6"/>
    <s v="Yes"/>
    <n v="0.12587412587412589"/>
    <n v="6200.2"/>
    <n v="685.85"/>
    <n v="4.1379310344827586E-2"/>
    <n v="0.86"/>
    <n v="9.9599915771741501E-2"/>
  </r>
  <r>
    <s v="Vendor_03"/>
    <x v="1"/>
    <n v="2023"/>
    <s v="Raw Materials"/>
    <x v="1"/>
    <n v="1973"/>
    <n v="59.73"/>
    <n v="54.95"/>
    <n v="291"/>
    <s v="Yes"/>
    <n v="0.70175438596491224"/>
    <n v="108416.35"/>
    <n v="9430.94"/>
    <n v="0.14749113025848962"/>
    <n v="0.61"/>
    <n v="8.0026787209107553E-2"/>
  </r>
  <r>
    <s v="Vendor_04"/>
    <x v="4"/>
    <n v="2023"/>
    <s v="Office Supplies"/>
    <x v="1"/>
    <n v="1807"/>
    <n v="78.63"/>
    <n v="73.08"/>
    <n v="100"/>
    <s v="Yes"/>
    <n v="0.72289156626506024"/>
    <n v="132055.56"/>
    <n v="10028.85"/>
    <n v="5.5340343110127282E-2"/>
    <n v="0.98"/>
    <n v="7.0583746661579516E-2"/>
  </r>
  <r>
    <s v="Vendor_04"/>
    <x v="4"/>
    <n v="2022"/>
    <s v="Electronics"/>
    <x v="1"/>
    <n v="534"/>
    <n v="13.88"/>
    <n v="12.51"/>
    <n v="100"/>
    <s v="Yes"/>
    <n v="0.72289156626506024"/>
    <n v="6680.34"/>
    <n v="731.58"/>
    <n v="0.18726591760299627"/>
    <n v="0.98"/>
    <n v="9.870317002881851E-2"/>
  </r>
  <r>
    <s v="Vendor_01"/>
    <x v="0"/>
    <n v="2022"/>
    <s v="Electronics"/>
    <x v="1"/>
    <n v="1480"/>
    <n v="85.22"/>
    <n v="75.48"/>
    <n v="100"/>
    <s v="Yes"/>
    <n v="0.75886524822695034"/>
    <n v="111710.39999999999"/>
    <n v="14415.2"/>
    <n v="6.7567567567567571E-2"/>
    <n v="0.94"/>
    <n v="0.1142924196198075"/>
  </r>
  <r>
    <s v="Vendor_01"/>
    <x v="0"/>
    <n v="2023"/>
    <s v="Office Supplies"/>
    <x v="1"/>
    <n v="280"/>
    <n v="72.16"/>
    <n v="62.38"/>
    <n v="100"/>
    <s v="Yes"/>
    <n v="0.75886524822695034"/>
    <n v="17466.400000000001"/>
    <n v="2738.4"/>
    <n v="0.35714285714285715"/>
    <n v="0.94"/>
    <n v="0.13553215077605313"/>
  </r>
  <r>
    <s v="Vendor_02"/>
    <x v="3"/>
    <n v="2023"/>
    <s v="Office Supplies"/>
    <x v="0"/>
    <n v="798"/>
    <n v="19.09"/>
    <n v="17.760000000000002"/>
    <n v="100"/>
    <s v="Yes"/>
    <n v="8.9743589743589744E-2"/>
    <n v="14172.48"/>
    <n v="1061.3399999999999"/>
    <n v="0.12531328320802004"/>
    <n v="0.76"/>
    <n v="6.9669984284965861E-2"/>
  </r>
  <r>
    <s v="Vendor_04"/>
    <x v="4"/>
    <n v="2023"/>
    <s v="Electronics"/>
    <x v="1"/>
    <n v="1728"/>
    <n v="94.83"/>
    <n v="90.2"/>
    <n v="100"/>
    <s v="Yes"/>
    <n v="0.72289156626506024"/>
    <n v="155865.60000000001"/>
    <n v="8000.64"/>
    <n v="5.7870370370370371E-2"/>
    <n v="0.98"/>
    <n v="4.8824211747337296E-2"/>
  </r>
  <r>
    <s v="Vendor_04"/>
    <x v="4"/>
    <n v="2022"/>
    <s v="MRO"/>
    <x v="1"/>
    <n v="1244"/>
    <n v="96.13"/>
    <n v="84.78"/>
    <n v="43"/>
    <s v="Yes"/>
    <n v="0.72289156626506024"/>
    <n v="105466.32"/>
    <n v="14119.4"/>
    <n v="3.4565916398713828E-2"/>
    <n v="0.98"/>
    <n v="0.11806928118173302"/>
  </r>
  <r>
    <s v="Vendor_02"/>
    <x v="3"/>
    <n v="2023"/>
    <s v="Office Supplies"/>
    <x v="1"/>
    <n v="590"/>
    <n v="16.89"/>
    <n v="15.56"/>
    <n v="46"/>
    <s v="No"/>
    <n v="0.70512820512820518"/>
    <n v="9180.4"/>
    <n v="784.7"/>
    <n v="7.796610169491526E-2"/>
    <n v="0.24"/>
    <n v="7.8744819419775014E-2"/>
  </r>
  <r>
    <s v="Vendor_03"/>
    <x v="1"/>
    <n v="2023"/>
    <s v="Packaging"/>
    <x v="1"/>
    <n v="1109"/>
    <n v="38.93"/>
    <n v="33.33"/>
    <n v="152"/>
    <s v="Yes"/>
    <n v="0.70175438596491224"/>
    <n v="36962.97"/>
    <n v="6210.4"/>
    <n v="0.13706041478809738"/>
    <n v="0.61"/>
    <n v="0.14384793218597486"/>
  </r>
  <r>
    <s v="Vendor_02"/>
    <x v="3"/>
    <n v="2022"/>
    <s v="MRO"/>
    <x v="1"/>
    <n v="574"/>
    <n v="85.03"/>
    <n v="82.55"/>
    <n v="54"/>
    <s v="Yes"/>
    <n v="0.70512820512820518"/>
    <n v="47383.7"/>
    <n v="1423.52"/>
    <n v="9.4076655052264813E-2"/>
    <n v="0.76"/>
    <n v="2.9166176643537621E-2"/>
  </r>
  <r>
    <s v="Vendor_05"/>
    <x v="2"/>
    <n v="2024"/>
    <s v="Office Supplies"/>
    <x v="1"/>
    <n v="1233"/>
    <n v="86.62"/>
    <n v="76.59"/>
    <n v="65"/>
    <s v="Yes"/>
    <n v="0.72027972027972031"/>
    <n v="94435.47"/>
    <n v="12366.99"/>
    <n v="5.2716950527169508E-2"/>
    <n v="0.86"/>
    <n v="0.11579311937196952"/>
  </r>
  <r>
    <s v="Vendor_05"/>
    <x v="2"/>
    <n v="2022"/>
    <s v="Packaging"/>
    <x v="1"/>
    <n v="1912"/>
    <n v="27.94"/>
    <n v="25.59"/>
    <n v="83"/>
    <s v="No"/>
    <n v="0.72027972027972031"/>
    <n v="48928.08"/>
    <n v="4493.2"/>
    <n v="4.3410041841004186E-2"/>
    <n v="0.14000000000000001"/>
    <n v="8.4108804581245575E-2"/>
  </r>
  <r>
    <s v="Vendor_01"/>
    <x v="0"/>
    <n v="2023"/>
    <s v="Packaging"/>
    <x v="1"/>
    <n v="1772"/>
    <n v="30.72"/>
    <n v="27.76"/>
    <n v="46"/>
    <s v="No"/>
    <n v="0.75886524822695034"/>
    <n v="49190.720000000001"/>
    <n v="5245.12"/>
    <n v="2.5959367945823927E-2"/>
    <n v="0.06"/>
    <n v="9.6354166666666588E-2"/>
  </r>
  <r>
    <s v="Vendor_02"/>
    <x v="3"/>
    <n v="2023"/>
    <s v="Office Supplies"/>
    <x v="1"/>
    <n v="1316"/>
    <n v="48.11"/>
    <n v="41.9"/>
    <n v="135"/>
    <s v="Yes"/>
    <n v="0.70512820512820518"/>
    <n v="55140.4"/>
    <n v="8172.36"/>
    <n v="0.10258358662613981"/>
    <n v="0.76"/>
    <n v="0.1290791935148618"/>
  </r>
  <r>
    <s v="Vendor_02"/>
    <x v="3"/>
    <n v="2023"/>
    <s v="Office Supplies"/>
    <x v="1"/>
    <n v="1159"/>
    <n v="59.24"/>
    <n v="58.08"/>
    <n v="105"/>
    <s v="Yes"/>
    <n v="0.70512820512820518"/>
    <n v="67314.720000000001"/>
    <n v="1344.44"/>
    <n v="9.0595340811044006E-2"/>
    <n v="0.76"/>
    <n v="1.9581363943281627E-2"/>
  </r>
  <r>
    <s v="Vendor_01"/>
    <x v="0"/>
    <n v="2023"/>
    <s v="Office Supplies"/>
    <x v="1"/>
    <n v="1869"/>
    <n v="69.58"/>
    <n v="67.5"/>
    <n v="31"/>
    <s v="Yes"/>
    <n v="0.75886524822695034"/>
    <n v="126157.5"/>
    <n v="3887.52"/>
    <n v="1.6586409844836811E-2"/>
    <n v="0.94"/>
    <n v="2.9893647599885002E-2"/>
  </r>
  <r>
    <s v="Vendor_03"/>
    <x v="1"/>
    <n v="2023"/>
    <s v="Packaging"/>
    <x v="1"/>
    <n v="627"/>
    <n v="46.23"/>
    <n v="42.87"/>
    <n v="155"/>
    <s v="Yes"/>
    <n v="0.70175438596491224"/>
    <n v="26879.49"/>
    <n v="2106.7199999999998"/>
    <n v="0.24720893141945774"/>
    <n v="0.61"/>
    <n v="7.2680077871511997E-2"/>
  </r>
  <r>
    <s v="Vendor_02"/>
    <x v="3"/>
    <n v="2023"/>
    <s v="Raw Materials"/>
    <x v="3"/>
    <n v="731"/>
    <n v="56.02"/>
    <n v="54.78"/>
    <n v="70"/>
    <s v="No"/>
    <n v="0.12179487179487179"/>
    <n v="40044.18"/>
    <n v="906.44"/>
    <n v="9.575923392612859E-2"/>
    <n v="0.24"/>
    <n v="2.2134951802927561E-2"/>
  </r>
  <r>
    <s v="Vendor_04"/>
    <x v="4"/>
    <n v="2023"/>
    <s v="Office Supplies"/>
    <x v="0"/>
    <n v="606"/>
    <n v="83.07"/>
    <n v="79.22"/>
    <n v="16"/>
    <s v="Yes"/>
    <n v="8.4337349397590355E-2"/>
    <n v="48007.32"/>
    <n v="2333.1"/>
    <n v="2.6402640264026403E-2"/>
    <n v="0.98"/>
    <n v="4.6346454797158959E-2"/>
  </r>
  <r>
    <s v="Vendor_02"/>
    <x v="3"/>
    <n v="2022"/>
    <s v="Office Supplies"/>
    <x v="1"/>
    <n v="1647"/>
    <n v="13.57"/>
    <n v="12.33"/>
    <n v="157"/>
    <s v="Yes"/>
    <n v="0.70512820512820518"/>
    <n v="20307.509999999998"/>
    <n v="2042.28"/>
    <n v="9.532483302975106E-2"/>
    <n v="0.76"/>
    <n v="9.1378039793662505E-2"/>
  </r>
  <r>
    <s v="Vendor_03"/>
    <x v="1"/>
    <n v="2022"/>
    <s v="MRO"/>
    <x v="1"/>
    <n v="1062"/>
    <n v="34.03"/>
    <n v="30.46"/>
    <n v="155"/>
    <s v="Yes"/>
    <n v="0.70175438596491224"/>
    <n v="32348.52"/>
    <n v="3791.34"/>
    <n v="0.14595103578154425"/>
    <n v="0.61"/>
    <n v="0.10490743461651485"/>
  </r>
  <r>
    <s v="Vendor_02"/>
    <x v="3"/>
    <n v="2022"/>
    <s v="Office Supplies"/>
    <x v="1"/>
    <n v="695"/>
    <n v="76.8"/>
    <n v="69.760000000000005"/>
    <n v="105"/>
    <s v="No"/>
    <n v="0.70512820512820518"/>
    <n v="48483.199999999997"/>
    <n v="4892.8"/>
    <n v="0.15107913669064749"/>
    <n v="0.24"/>
    <n v="9.1666666666666563E-2"/>
  </r>
  <r>
    <s v="Vendor_04"/>
    <x v="4"/>
    <n v="2022"/>
    <s v="MRO"/>
    <x v="1"/>
    <n v="845"/>
    <n v="91.47"/>
    <n v="86.97"/>
    <n v="33"/>
    <s v="Yes"/>
    <n v="0.72289156626506024"/>
    <n v="73489.649999999994"/>
    <n v="3802.5"/>
    <n v="3.9053254437869819E-2"/>
    <n v="0.98"/>
    <n v="4.9196457855034438E-2"/>
  </r>
  <r>
    <s v="Vendor_05"/>
    <x v="2"/>
    <n v="2022"/>
    <s v="MRO"/>
    <x v="1"/>
    <n v="1101"/>
    <n v="59.13"/>
    <n v="52.51"/>
    <n v="54"/>
    <s v="Yes"/>
    <n v="0.72027972027972031"/>
    <n v="57813.51"/>
    <n v="7288.62"/>
    <n v="4.9046321525885561E-2"/>
    <n v="0.86"/>
    <n v="0.11195670556401158"/>
  </r>
  <r>
    <s v="Vendor_05"/>
    <x v="2"/>
    <n v="2022"/>
    <s v="Raw Materials"/>
    <x v="1"/>
    <n v="1693"/>
    <n v="57.89"/>
    <n v="49.84"/>
    <n v="88"/>
    <s v="Yes"/>
    <n v="0.72027972027972031"/>
    <n v="84379.12"/>
    <n v="13628.65"/>
    <n v="5.1978735971647962E-2"/>
    <n v="0.86"/>
    <n v="0.13905683192261181"/>
  </r>
  <r>
    <s v="Vendor_03"/>
    <x v="1"/>
    <n v="2023"/>
    <s v="Office Supplies"/>
    <x v="0"/>
    <n v="1629"/>
    <n v="21.51"/>
    <n v="19.41"/>
    <n v="250"/>
    <s v="No"/>
    <n v="9.3567251461988299E-2"/>
    <n v="31618.89"/>
    <n v="3420.9"/>
    <n v="0.1534683855125844"/>
    <n v="0.39"/>
    <n v="9.7629009762901037E-2"/>
  </r>
  <r>
    <s v="Vendor_03"/>
    <x v="1"/>
    <n v="2023"/>
    <s v="Raw Materials"/>
    <x v="1"/>
    <n v="1413"/>
    <n v="54.79"/>
    <n v="50.42"/>
    <n v="155"/>
    <s v="Yes"/>
    <n v="0.70175438596491224"/>
    <n v="71243.460000000006"/>
    <n v="6174.81"/>
    <n v="0.10969568294409059"/>
    <n v="0.61"/>
    <n v="7.975908012411019E-2"/>
  </r>
  <r>
    <s v="Vendor_04"/>
    <x v="4"/>
    <n v="2022"/>
    <s v="Packaging"/>
    <x v="1"/>
    <n v="1871"/>
    <n v="59.96"/>
    <n v="58.54"/>
    <n v="47"/>
    <s v="Yes"/>
    <n v="0.72289156626506024"/>
    <n v="109528.34"/>
    <n v="2656.82"/>
    <n v="2.512025654730091E-2"/>
    <n v="0.98"/>
    <n v="2.3682454969980015E-2"/>
  </r>
  <r>
    <s v="Vendor_05"/>
    <x v="2"/>
    <n v="2023"/>
    <s v="Raw Materials"/>
    <x v="1"/>
    <n v="1404"/>
    <n v="34.85"/>
    <n v="30.5"/>
    <n v="78"/>
    <s v="Yes"/>
    <n v="0.72027972027972031"/>
    <n v="42822"/>
    <n v="6107.4"/>
    <n v="5.5555555555555552E-2"/>
    <n v="0.86"/>
    <n v="0.12482065997130563"/>
  </r>
  <r>
    <s v="Vendor_05"/>
    <x v="2"/>
    <n v="2022"/>
    <s v="Electronics"/>
    <x v="1"/>
    <n v="1713"/>
    <n v="35.43"/>
    <n v="34.11"/>
    <n v="74"/>
    <s v="Yes"/>
    <n v="0.72027972027972031"/>
    <n v="58430.43"/>
    <n v="2261.16"/>
    <n v="4.3199065966141273E-2"/>
    <n v="0.86"/>
    <n v="3.7256562235393739E-2"/>
  </r>
  <r>
    <s v="Vendor_05"/>
    <x v="2"/>
    <n v="2022"/>
    <s v="Electronics"/>
    <x v="1"/>
    <n v="1579"/>
    <n v="43.96"/>
    <n v="43.41"/>
    <n v="74"/>
    <s v="Yes"/>
    <n v="0.72027972027972031"/>
    <n v="68544.39"/>
    <n v="868.45"/>
    <n v="4.6865104496516784E-2"/>
    <n v="0.86"/>
    <n v="1.2511373976342227E-2"/>
  </r>
  <r>
    <s v="Vendor_05"/>
    <x v="2"/>
    <n v="2022"/>
    <s v="Electronics"/>
    <x v="1"/>
    <n v="1421"/>
    <n v="11.92"/>
    <n v="11.72"/>
    <n v="76"/>
    <s v="Yes"/>
    <n v="0.72027972027972031"/>
    <n v="16654.12"/>
    <n v="284.2"/>
    <n v="5.3483462350457422E-2"/>
    <n v="0.86"/>
    <n v="1.6778523489932827E-2"/>
  </r>
  <r>
    <s v="Vendor_04"/>
    <x v="4"/>
    <n v="2023"/>
    <s v="MRO"/>
    <x v="1"/>
    <n v="1546"/>
    <n v="43.47"/>
    <n v="37.369999999999997"/>
    <n v="53"/>
    <s v="Yes"/>
    <n v="0.72289156626506024"/>
    <n v="57774.02"/>
    <n v="9430.6"/>
    <n v="3.428201811125485E-2"/>
    <n v="0.98"/>
    <n v="0.14032666206579253"/>
  </r>
  <r>
    <s v="Vendor_03"/>
    <x v="1"/>
    <n v="2023"/>
    <s v="Electronics"/>
    <x v="1"/>
    <n v="1304"/>
    <n v="32.08"/>
    <n v="29.36"/>
    <n v="155"/>
    <s v="Yes"/>
    <n v="0.70175438596491224"/>
    <n v="38285.440000000002"/>
    <n v="3546.88"/>
    <n v="0.11886503067484662"/>
    <n v="0.61"/>
    <n v="8.4788029925186997E-2"/>
  </r>
  <r>
    <s v="Vendor_03"/>
    <x v="1"/>
    <n v="2022"/>
    <s v="Raw Materials"/>
    <x v="1"/>
    <n v="239"/>
    <n v="39.869999999999997"/>
    <n v="35.47"/>
    <n v="32"/>
    <s v="Yes"/>
    <n v="0.70175438596491224"/>
    <n v="8477.33"/>
    <n v="1051.5999999999999"/>
    <n v="0.13389121338912133"/>
    <n v="0.61"/>
    <n v="0.11035866566340605"/>
  </r>
  <r>
    <s v="Vendor_01"/>
    <x v="0"/>
    <n v="2022"/>
    <s v="Office Supplies"/>
    <x v="1"/>
    <n v="1298"/>
    <n v="21.51"/>
    <n v="20.83"/>
    <n v="24"/>
    <s v="Yes"/>
    <n v="0.75886524822695034"/>
    <n v="27037.34"/>
    <n v="882.64"/>
    <n v="1.8489984591679508E-2"/>
    <n v="0.94"/>
    <n v="3.1613203161320463E-2"/>
  </r>
  <r>
    <s v="Vendor_03"/>
    <x v="1"/>
    <n v="2022"/>
    <s v="MRO"/>
    <x v="1"/>
    <n v="1458"/>
    <n v="91.05"/>
    <n v="81.56"/>
    <n v="220"/>
    <s v="Yes"/>
    <n v="0.70175438596491224"/>
    <n v="118914.48"/>
    <n v="13836.42"/>
    <n v="0.15089163237311384"/>
    <n v="0.61"/>
    <n v="0.10422844590884124"/>
  </r>
  <r>
    <s v="Vendor_05"/>
    <x v="2"/>
    <n v="2022"/>
    <s v="MRO"/>
    <x v="1"/>
    <n v="1450"/>
    <n v="63.74"/>
    <n v="59.11"/>
    <n v="71"/>
    <s v="Yes"/>
    <n v="0.72027972027972031"/>
    <n v="85709.5"/>
    <n v="6713.5"/>
    <n v="4.8965517241379312E-2"/>
    <n v="0.86"/>
    <n v="7.2638845309068126E-2"/>
  </r>
  <r>
    <s v="Vendor_02"/>
    <x v="3"/>
    <n v="2022"/>
    <s v="Electronics"/>
    <x v="1"/>
    <n v="1356"/>
    <n v="75.03"/>
    <n v="63.86"/>
    <n v="131"/>
    <s v="Yes"/>
    <n v="0.70512820512820518"/>
    <n v="86594.16"/>
    <n v="15146.52"/>
    <n v="9.6607669616519176E-2"/>
    <n v="0.76"/>
    <n v="0.14887378381980543"/>
  </r>
  <r>
    <s v="Vendor_05"/>
    <x v="2"/>
    <n v="2022"/>
    <s v="Packaging"/>
    <x v="1"/>
    <n v="682"/>
    <n v="81.84"/>
    <n v="71.86"/>
    <n v="40"/>
    <s v="Yes"/>
    <n v="0.72027972027972031"/>
    <n v="49008.52"/>
    <n v="6806.36"/>
    <n v="5.865102639296188E-2"/>
    <n v="0.86"/>
    <n v="0.12194525904203328"/>
  </r>
  <r>
    <s v="Vendor_05"/>
    <x v="2"/>
    <n v="2023"/>
    <s v="Packaging"/>
    <x v="1"/>
    <n v="677"/>
    <n v="59.52"/>
    <n v="55.29"/>
    <n v="39"/>
    <s v="Yes"/>
    <n v="0.72027972027972031"/>
    <n v="37431.33"/>
    <n v="2863.71"/>
    <n v="5.7607090103397339E-2"/>
    <n v="0.86"/>
    <n v="7.1068548387096836E-2"/>
  </r>
  <r>
    <s v="Vendor_03"/>
    <x v="1"/>
    <n v="2022"/>
    <s v="Office Supplies"/>
    <x v="1"/>
    <n v="1022"/>
    <n v="18.54"/>
    <n v="16.55"/>
    <n v="150"/>
    <s v="Yes"/>
    <n v="0.70175438596491224"/>
    <n v="16914.099999999999"/>
    <n v="2033.78"/>
    <n v="0.14677103718199608"/>
    <n v="0.61"/>
    <n v="0.10733549083063638"/>
  </r>
  <r>
    <s v="Vendor_01"/>
    <x v="0"/>
    <n v="2022"/>
    <s v="Raw Materials"/>
    <x v="1"/>
    <n v="1818"/>
    <n v="60.96"/>
    <n v="57.13"/>
    <n v="41"/>
    <s v="Yes"/>
    <n v="0.75886524822695034"/>
    <n v="103862.34"/>
    <n v="6962.94"/>
    <n v="2.2552255225522552E-2"/>
    <n v="0.94"/>
    <n v="6.2828083989501279E-2"/>
  </r>
  <r>
    <s v="Vendor_04"/>
    <x v="4"/>
    <n v="2023"/>
    <s v="Electronics"/>
    <x v="1"/>
    <n v="1332"/>
    <n v="69.73"/>
    <n v="63.8"/>
    <n v="41"/>
    <s v="Yes"/>
    <n v="0.72289156626506024"/>
    <n v="84981.6"/>
    <n v="7898.76"/>
    <n v="3.0780780780780781E-2"/>
    <n v="0.98"/>
    <n v="8.5042306037573595E-2"/>
  </r>
  <r>
    <s v="Vendor_02"/>
    <x v="3"/>
    <n v="2023"/>
    <s v="Raw Materials"/>
    <x v="1"/>
    <n v="1432"/>
    <n v="83.26"/>
    <n v="77.67"/>
    <n v="174"/>
    <s v="Yes"/>
    <n v="0.70512820512820518"/>
    <n v="111223.44"/>
    <n v="8004.88"/>
    <n v="0.12150837988826815"/>
    <n v="0.76"/>
    <n v="6.7139082392505448E-2"/>
  </r>
  <r>
    <s v="Vendor_02"/>
    <x v="3"/>
    <n v="2022"/>
    <s v="Packaging"/>
    <x v="3"/>
    <n v="759"/>
    <n v="50.56"/>
    <n v="46.47"/>
    <n v="63"/>
    <s v="No"/>
    <n v="0.12179487179487179"/>
    <n v="35270.730000000003"/>
    <n v="3104.31"/>
    <n v="8.3003952569169967E-2"/>
    <n v="0.24"/>
    <n v="8.0893987341772222E-2"/>
  </r>
  <r>
    <s v="Vendor_01"/>
    <x v="0"/>
    <n v="2023"/>
    <s v="Packaging"/>
    <x v="1"/>
    <n v="1529"/>
    <n v="23.42"/>
    <n v="22.44"/>
    <n v="30"/>
    <s v="Yes"/>
    <n v="0.75886524822695034"/>
    <n v="34310.76"/>
    <n v="1498.42"/>
    <n v="1.962066710268149E-2"/>
    <n v="0.94"/>
    <n v="4.1844577284372346E-2"/>
  </r>
  <r>
    <s v="Vendor_05"/>
    <x v="2"/>
    <n v="2022"/>
    <s v="Electronics"/>
    <x v="1"/>
    <n v="1484"/>
    <n v="36.25"/>
    <n v="31.8"/>
    <n v="61"/>
    <s v="Yes"/>
    <n v="0.72027972027972031"/>
    <n v="47191.199999999997"/>
    <n v="6603.8"/>
    <n v="4.1105121293800541E-2"/>
    <n v="0.86"/>
    <n v="0.12275862068965515"/>
  </r>
  <r>
    <s v="Vendor_04"/>
    <x v="4"/>
    <n v="2023"/>
    <s v="Packaging"/>
    <x v="1"/>
    <n v="698"/>
    <n v="46.73"/>
    <n v="45.61"/>
    <n v="15"/>
    <s v="Yes"/>
    <n v="0.72289156626506024"/>
    <n v="31835.78"/>
    <n v="781.76"/>
    <n v="2.148997134670487E-2"/>
    <n v="0.98"/>
    <n v="2.3967472715600204E-2"/>
  </r>
  <r>
    <s v="Vendor_04"/>
    <x v="4"/>
    <n v="2023"/>
    <s v="Packaging"/>
    <x v="3"/>
    <n v="367"/>
    <n v="74.61"/>
    <n v="71.36"/>
    <n v="13"/>
    <s v="Yes"/>
    <n v="0.10843373493975904"/>
    <n v="26189.119999999999"/>
    <n v="1192.75"/>
    <n v="3.5422343324250684E-2"/>
    <n v="0.98"/>
    <n v="4.3559844524862619E-2"/>
  </r>
  <r>
    <s v="Vendor_04"/>
    <x v="4"/>
    <n v="2023"/>
    <s v="Office Supplies"/>
    <x v="2"/>
    <n v="1750"/>
    <n v="65.97"/>
    <n v="58.34"/>
    <n v="50"/>
    <s v="Yes"/>
    <n v="8.4337349397590355E-2"/>
    <n v="102095"/>
    <n v="13352.5"/>
    <n v="2.8571428571428571E-2"/>
    <n v="0.98"/>
    <n v="0.11565863271183864"/>
  </r>
  <r>
    <s v="Vendor_03"/>
    <x v="1"/>
    <n v="2022"/>
    <s v="Office Supplies"/>
    <x v="2"/>
    <n v="1298"/>
    <n v="43.73"/>
    <n v="37.21"/>
    <n v="155"/>
    <s v="No"/>
    <n v="0.10526315789473684"/>
    <n v="48298.58"/>
    <n v="8462.9599999999991"/>
    <n v="0.11941448382126348"/>
    <n v="0.39"/>
    <n v="0.14909672993368389"/>
  </r>
  <r>
    <s v="Vendor_05"/>
    <x v="2"/>
    <n v="2023"/>
    <s v="Packaging"/>
    <x v="1"/>
    <n v="1892"/>
    <n v="106.2"/>
    <n v="96.37"/>
    <n v="93"/>
    <s v="Yes"/>
    <n v="0.72027972027972031"/>
    <n v="182332.04"/>
    <n v="18598.36"/>
    <n v="4.915433403805497E-2"/>
    <n v="0.86"/>
    <n v="9.2561205273069658E-2"/>
  </r>
  <r>
    <s v="Vendor_02"/>
    <x v="3"/>
    <n v="2023"/>
    <s v="Electronics"/>
    <x v="1"/>
    <n v="1307"/>
    <n v="68.709999999999994"/>
    <n v="60.64"/>
    <n v="141"/>
    <s v="Yes"/>
    <n v="0.70512820512820518"/>
    <n v="79256.479999999996"/>
    <n v="10547.49"/>
    <n v="0.10788064269319052"/>
    <n v="0.76"/>
    <n v="0.11745015281618387"/>
  </r>
  <r>
    <s v="Vendor_02"/>
    <x v="3"/>
    <n v="2022"/>
    <s v="Electronics"/>
    <x v="1"/>
    <n v="733"/>
    <n v="32.29"/>
    <n v="29.01"/>
    <n v="78"/>
    <s v="Yes"/>
    <n v="0.70512820512820518"/>
    <n v="21264.33"/>
    <n v="2404.2399999999998"/>
    <n v="0.10641200545702592"/>
    <n v="0.76"/>
    <n v="0.1015794363580055"/>
  </r>
  <r>
    <s v="Vendor_05"/>
    <x v="2"/>
    <n v="2022"/>
    <s v="Packaging"/>
    <x v="1"/>
    <n v="713"/>
    <n v="19.45"/>
    <n v="18.82"/>
    <n v="31"/>
    <s v="Yes"/>
    <n v="0.72027972027972031"/>
    <n v="13418.66"/>
    <n v="449.19"/>
    <n v="4.3478260869565216E-2"/>
    <n v="0.86"/>
    <n v="3.2390745501285297E-2"/>
  </r>
  <r>
    <s v="Vendor_02"/>
    <x v="3"/>
    <n v="2022"/>
    <s v="Packaging"/>
    <x v="1"/>
    <n v="1900"/>
    <n v="24.11"/>
    <n v="23.45"/>
    <n v="188"/>
    <s v="Yes"/>
    <n v="0.70512820512820518"/>
    <n v="44555"/>
    <n v="1254"/>
    <n v="9.8947368421052631E-2"/>
    <n v="0.76"/>
    <n v="2.7374533388635429E-2"/>
  </r>
  <r>
    <s v="Vendor_03"/>
    <x v="1"/>
    <n v="2023"/>
    <s v="MRO"/>
    <x v="0"/>
    <n v="1447"/>
    <n v="35.67"/>
    <n v="35.07"/>
    <n v="224"/>
    <s v="No"/>
    <n v="9.3567251461988299E-2"/>
    <n v="50746.29"/>
    <n v="868.2"/>
    <n v="0.15480304077401522"/>
    <n v="0.39"/>
    <n v="1.682085786375109E-2"/>
  </r>
  <r>
    <s v="Vendor_04"/>
    <x v="4"/>
    <n v="2023"/>
    <s v="Office Supplies"/>
    <x v="1"/>
    <n v="1745"/>
    <n v="26.17"/>
    <n v="22.25"/>
    <n v="55"/>
    <s v="Yes"/>
    <n v="0.72289156626506024"/>
    <n v="38826.25"/>
    <n v="6840.4"/>
    <n v="3.151862464183381E-2"/>
    <n v="0.98"/>
    <n v="0.14978983568972112"/>
  </r>
  <r>
    <s v="Vendor_02"/>
    <x v="3"/>
    <n v="2022"/>
    <s v="Office Supplies"/>
    <x v="1"/>
    <n v="1681"/>
    <n v="28.26"/>
    <n v="26.62"/>
    <n v="143"/>
    <s v="Yes"/>
    <n v="0.70512820512820518"/>
    <n v="44748.22"/>
    <n v="2756.84"/>
    <n v="8.5068411659726353E-2"/>
    <n v="0.76"/>
    <n v="5.8032554847841492E-2"/>
  </r>
  <r>
    <s v="Vendor_03"/>
    <x v="1"/>
    <n v="2023"/>
    <s v="Electronics"/>
    <x v="1"/>
    <n v="1545"/>
    <n v="38.15"/>
    <n v="36.96"/>
    <n v="214"/>
    <s v="Yes"/>
    <n v="0.70175438596491224"/>
    <n v="57103.199999999997"/>
    <n v="1838.55"/>
    <n v="0.13851132686084142"/>
    <n v="0.61"/>
    <n v="3.1192660550458658E-2"/>
  </r>
  <r>
    <s v="Vendor_04"/>
    <x v="4"/>
    <n v="2023"/>
    <s v="Raw Materials"/>
    <x v="1"/>
    <n v="1306"/>
    <n v="27.27"/>
    <n v="25.96"/>
    <n v="39"/>
    <s v="Yes"/>
    <n v="0.72289156626506024"/>
    <n v="33903.760000000002"/>
    <n v="1710.86"/>
    <n v="2.9862174578866769E-2"/>
    <n v="0.98"/>
    <n v="4.8038137147047993E-2"/>
  </r>
  <r>
    <s v="Vendor_05"/>
    <x v="2"/>
    <n v="2023"/>
    <s v="Raw Materials"/>
    <x v="1"/>
    <n v="1765"/>
    <n v="97.51"/>
    <n v="84.3"/>
    <n v="65"/>
    <s v="Yes"/>
    <n v="0.72027972027972031"/>
    <n v="148789.5"/>
    <n v="23315.65"/>
    <n v="3.6827195467422094E-2"/>
    <n v="0.86"/>
    <n v="0.13547328479130352"/>
  </r>
  <r>
    <s v="Vendor_05"/>
    <x v="2"/>
    <n v="2022"/>
    <s v="Packaging"/>
    <x v="0"/>
    <n v="1186"/>
    <n v="17.309999999999999"/>
    <n v="16"/>
    <n v="64"/>
    <s v="Yes"/>
    <n v="4.195804195804196E-2"/>
    <n v="18976"/>
    <n v="1553.66"/>
    <n v="5.3962900505902189E-2"/>
    <n v="0.86"/>
    <n v="7.5678798382437823E-2"/>
  </r>
  <r>
    <s v="Vendor_03"/>
    <x v="1"/>
    <n v="2023"/>
    <s v="Packaging"/>
    <x v="1"/>
    <n v="1903"/>
    <n v="63.5"/>
    <n v="56.09"/>
    <n v="254"/>
    <s v="Yes"/>
    <n v="0.70175438596491224"/>
    <n v="106739.27"/>
    <n v="14101.23"/>
    <n v="0.13347346295323173"/>
    <n v="0.61"/>
    <n v="0.11669291338582671"/>
  </r>
  <r>
    <s v="Vendor_03"/>
    <x v="1"/>
    <n v="2023"/>
    <s v="MRO"/>
    <x v="1"/>
    <n v="1570"/>
    <n v="52.1"/>
    <n v="47.87"/>
    <n v="155"/>
    <s v="No"/>
    <n v="0.70175438596491224"/>
    <n v="75155.899999999994"/>
    <n v="6641.1"/>
    <n v="9.8726114649681534E-2"/>
    <n v="0.39"/>
    <n v="8.1190019193858043E-2"/>
  </r>
  <r>
    <s v="Vendor_03"/>
    <x v="1"/>
    <n v="2023"/>
    <s v="MRO"/>
    <x v="1"/>
    <n v="491"/>
    <n v="108.75"/>
    <n v="93.35"/>
    <n v="155"/>
    <s v="No"/>
    <n v="0.70175438596491224"/>
    <n v="45834.85"/>
    <n v="7561.4"/>
    <n v="0.31568228105906315"/>
    <n v="0.39"/>
    <n v="0.14160919540229891"/>
  </r>
  <r>
    <s v="Vendor_02"/>
    <x v="3"/>
    <n v="2022"/>
    <s v="Electronics"/>
    <x v="2"/>
    <n v="613"/>
    <n v="20.38"/>
    <n v="20.170000000000002"/>
    <n v="58"/>
    <s v="Yes"/>
    <n v="8.3333333333333329E-2"/>
    <n v="12364.21"/>
    <n v="128.72999999999999"/>
    <n v="9.461663947797716E-2"/>
    <n v="0.76"/>
    <n v="1.03042198233561E-2"/>
  </r>
  <r>
    <s v="Vendor_05"/>
    <x v="2"/>
    <n v="2022"/>
    <s v="Raw Materials"/>
    <x v="2"/>
    <n v="1341"/>
    <n v="46.27"/>
    <n v="43.94"/>
    <n v="63"/>
    <s v="Yes"/>
    <n v="0.12587412587412589"/>
    <n v="58923.54"/>
    <n v="3124.53"/>
    <n v="4.6979865771812082E-2"/>
    <n v="0.86"/>
    <n v="5.0356602550248653E-2"/>
  </r>
  <r>
    <s v="Vendor_02"/>
    <x v="3"/>
    <n v="2023"/>
    <s v="MRO"/>
    <x v="2"/>
    <n v="1583"/>
    <n v="103.57"/>
    <n v="89.38"/>
    <n v="164"/>
    <s v="Yes"/>
    <n v="8.3333333333333329E-2"/>
    <n v="141488.54"/>
    <n v="22462.77"/>
    <n v="0.10360075805432722"/>
    <n v="0.76"/>
    <n v="0.13700878632808727"/>
  </r>
  <r>
    <s v="Vendor_02"/>
    <x v="3"/>
    <n v="2022"/>
    <s v="Raw Materials"/>
    <x v="0"/>
    <n v="1880"/>
    <n v="92.73"/>
    <n v="90.78"/>
    <n v="173"/>
    <s v="Yes"/>
    <n v="8.9743589743589744E-2"/>
    <n v="170666.4"/>
    <n v="3666"/>
    <n v="9.2021276595744675E-2"/>
    <n v="0.76"/>
    <n v="2.1028793270786182E-2"/>
  </r>
  <r>
    <s v="Vendor_04"/>
    <x v="4"/>
    <n v="2022"/>
    <s v="MRO"/>
    <x v="1"/>
    <n v="1459"/>
    <n v="84.79"/>
    <n v="82.72"/>
    <n v="47"/>
    <s v="Yes"/>
    <n v="0.72289156626506024"/>
    <n v="120688.48"/>
    <n v="3020.13"/>
    <n v="3.2213845099383139E-2"/>
    <n v="0.98"/>
    <n v="2.4413256280221809E-2"/>
  </r>
  <r>
    <s v="Vendor_03"/>
    <x v="1"/>
    <n v="2022"/>
    <s v="Office Supplies"/>
    <x v="1"/>
    <n v="1460"/>
    <n v="34.54"/>
    <n v="31.87"/>
    <n v="208"/>
    <s v="No"/>
    <n v="0.70175438596491224"/>
    <n v="46530.2"/>
    <n v="3898.2"/>
    <n v="0.14246575342465753"/>
    <n v="0.39"/>
    <n v="7.7301679212507191E-2"/>
  </r>
  <r>
    <s v="Vendor_02"/>
    <x v="3"/>
    <n v="2022"/>
    <s v="Packaging"/>
    <x v="2"/>
    <n v="1186"/>
    <n v="26.14"/>
    <n v="24.78"/>
    <n v="112"/>
    <s v="Yes"/>
    <n v="8.3333333333333329E-2"/>
    <n v="29389.08"/>
    <n v="1612.96"/>
    <n v="9.4435075885328831E-2"/>
    <n v="0.76"/>
    <n v="5.2027543993879093E-2"/>
  </r>
  <r>
    <s v="Vendor_04"/>
    <x v="4"/>
    <n v="2022"/>
    <s v="MRO"/>
    <x v="3"/>
    <n v="1686"/>
    <n v="72.28"/>
    <n v="65.209999999999994"/>
    <n v="53"/>
    <s v="Yes"/>
    <n v="0.10843373493975904"/>
    <n v="109944.06"/>
    <n v="11920.02"/>
    <n v="3.1435349940688022E-2"/>
    <n v="0.98"/>
    <n v="9.7814056447150077E-2"/>
  </r>
  <r>
    <s v="Vendor_01"/>
    <x v="0"/>
    <n v="2023"/>
    <s v="MRO"/>
    <x v="1"/>
    <n v="1698"/>
    <n v="102.07"/>
    <n v="100.69"/>
    <n v="28"/>
    <s v="Yes"/>
    <n v="0.75886524822695034"/>
    <n v="170971.62"/>
    <n v="2343.2399999999998"/>
    <n v="1.6489988221436984E-2"/>
    <n v="0.94"/>
    <n v="1.3520133241892775E-2"/>
  </r>
  <r>
    <s v="Vendor_04"/>
    <x v="4"/>
    <n v="2023"/>
    <s v="Electronics"/>
    <x v="1"/>
    <n v="1001"/>
    <n v="64.62"/>
    <n v="55.7"/>
    <n v="32"/>
    <s v="Yes"/>
    <n v="0.72289156626506024"/>
    <n v="55755.7"/>
    <n v="8928.92"/>
    <n v="3.1968031968031968E-2"/>
    <n v="0.98"/>
    <n v="0.13803775920767566"/>
  </r>
  <r>
    <s v="Vendor_01"/>
    <x v="0"/>
    <n v="2022"/>
    <s v="Office Supplies"/>
    <x v="1"/>
    <n v="1154"/>
    <n v="62.67"/>
    <n v="54.11"/>
    <n v="25"/>
    <s v="Yes"/>
    <n v="0.75886524822695034"/>
    <n v="62442.94"/>
    <n v="9878.24"/>
    <n v="2.1663778162911613E-2"/>
    <n v="0.94"/>
    <n v="0.13658847933620555"/>
  </r>
  <r>
    <s v="Vendor_01"/>
    <x v="0"/>
    <n v="2023"/>
    <s v="Packaging"/>
    <x v="0"/>
    <n v="748"/>
    <n v="37.659999999999997"/>
    <n v="32.71"/>
    <n v="24"/>
    <s v="No"/>
    <n v="9.2198581560283682E-2"/>
    <n v="24467.08"/>
    <n v="3702.6"/>
    <n v="3.2085561497326207E-2"/>
    <n v="0.06"/>
    <n v="0.13143919277748264"/>
  </r>
  <r>
    <s v="Vendor_01"/>
    <x v="0"/>
    <n v="2022"/>
    <s v="Office Supplies"/>
    <x v="1"/>
    <n v="162"/>
    <n v="81.63"/>
    <n v="78.760000000000005"/>
    <n v="2"/>
    <s v="Yes"/>
    <n v="0.75886524822695034"/>
    <n v="12759.12"/>
    <n v="464.94"/>
    <n v="1.2345679012345678E-2"/>
    <n v="0.94"/>
    <n v="3.5158642655886196E-2"/>
  </r>
  <r>
    <s v="Vendor_01"/>
    <x v="0"/>
    <n v="2022"/>
    <s v="Packaging"/>
    <x v="1"/>
    <n v="51"/>
    <n v="28.04"/>
    <n v="24.13"/>
    <n v="0"/>
    <s v="Yes"/>
    <n v="0.75886524822695034"/>
    <n v="1230.6300000000001"/>
    <n v="199.41"/>
    <n v="0"/>
    <n v="0.94"/>
    <n v="0.13944365192582026"/>
  </r>
  <r>
    <s v="Vendor_03"/>
    <x v="1"/>
    <n v="2023"/>
    <s v="Office Supplies"/>
    <x v="1"/>
    <n v="691"/>
    <n v="42.07"/>
    <n v="39.1"/>
    <n v="106"/>
    <s v="Yes"/>
    <n v="0.70175438596491224"/>
    <n v="27018.1"/>
    <n v="2052.27"/>
    <n v="0.15340086830680175"/>
    <n v="0.61"/>
    <n v="7.0596624673163744E-2"/>
  </r>
  <r>
    <s v="Vendor_02"/>
    <x v="3"/>
    <n v="2022"/>
    <s v="Office Supplies"/>
    <x v="1"/>
    <n v="269"/>
    <n v="50.22"/>
    <n v="45.75"/>
    <n v="32"/>
    <s v="No"/>
    <n v="0.70512820512820518"/>
    <n v="12306.75"/>
    <n v="1202.43"/>
    <n v="0.11895910780669144"/>
    <n v="0.24"/>
    <n v="8.9008363201911564E-2"/>
  </r>
  <r>
    <s v="Vendor_02"/>
    <x v="3"/>
    <n v="2022"/>
    <s v="Electronics"/>
    <x v="3"/>
    <n v="1639"/>
    <n v="56.24"/>
    <n v="55.4"/>
    <n v="147"/>
    <s v="Yes"/>
    <n v="0.12179487179487179"/>
    <n v="90800.6"/>
    <n v="1376.76"/>
    <n v="8.9688834655277605E-2"/>
    <n v="0.76"/>
    <n v="1.4935988620199207E-2"/>
  </r>
  <r>
    <s v="Vendor_01"/>
    <x v="0"/>
    <n v="2023"/>
    <s v="Raw Materials"/>
    <x v="1"/>
    <n v="904"/>
    <n v="34.04"/>
    <n v="30.06"/>
    <n v="26"/>
    <s v="Yes"/>
    <n v="0.75886524822695034"/>
    <n v="27174.240000000002"/>
    <n v="3597.92"/>
    <n v="2.8761061946902654E-2"/>
    <n v="0.94"/>
    <n v="0.11692126909518215"/>
  </r>
  <r>
    <s v="Vendor_02"/>
    <x v="3"/>
    <n v="2023"/>
    <s v="Office Supplies"/>
    <x v="1"/>
    <n v="1809"/>
    <n v="22.17"/>
    <n v="19.649999999999999"/>
    <n v="105"/>
    <s v="Yes"/>
    <n v="0.70512820512820518"/>
    <n v="35546.85"/>
    <n v="4558.68"/>
    <n v="5.8043117744610281E-2"/>
    <n v="0.76"/>
    <n v="0.11366711772665777"/>
  </r>
  <r>
    <s v="Vendor_01"/>
    <x v="0"/>
    <n v="2022"/>
    <s v="Packaging"/>
    <x v="1"/>
    <n v="1298"/>
    <n v="65.930000000000007"/>
    <n v="58.95"/>
    <n v="24"/>
    <s v="Yes"/>
    <n v="0.75886524822695034"/>
    <n v="76517.100000000006"/>
    <n v="9060.0400000000009"/>
    <n v="1.8489984591679508E-2"/>
    <n v="0.94"/>
    <n v="0.10586986197482183"/>
  </r>
  <r>
    <s v="Vendor_02"/>
    <x v="3"/>
    <n v="2022"/>
    <s v="Packaging"/>
    <x v="1"/>
    <n v="434"/>
    <n v="36.159999999999997"/>
    <n v="34.79"/>
    <n v="41"/>
    <s v="Yes"/>
    <n v="0.70512820512820518"/>
    <n v="15098.86"/>
    <n v="594.58000000000004"/>
    <n v="9.4470046082949302E-2"/>
    <n v="0.76"/>
    <n v="3.7887168141592854E-2"/>
  </r>
  <r>
    <s v="Vendor_04"/>
    <x v="4"/>
    <n v="2023"/>
    <s v="Electronics"/>
    <x v="1"/>
    <n v="1476"/>
    <n v="68.849999999999994"/>
    <n v="65.28"/>
    <n v="43"/>
    <s v="Yes"/>
    <n v="0.72289156626506024"/>
    <n v="96353.279999999999"/>
    <n v="5269.32"/>
    <n v="2.9132791327913278E-2"/>
    <n v="0.98"/>
    <n v="5.185185185185176E-2"/>
  </r>
  <r>
    <s v="Vendor_03"/>
    <x v="1"/>
    <n v="2023"/>
    <s v="Raw Materials"/>
    <x v="2"/>
    <n v="1711"/>
    <n v="26.04"/>
    <n v="24.81"/>
    <n v="290"/>
    <s v="Yes"/>
    <n v="0.10526315789473684"/>
    <n v="42449.91"/>
    <n v="2104.5300000000002"/>
    <n v="0.16949152542372881"/>
    <n v="0.61"/>
    <n v="4.7235023041474672E-2"/>
  </r>
  <r>
    <s v="Vendor_05"/>
    <x v="2"/>
    <n v="2022"/>
    <s v="Packaging"/>
    <x v="1"/>
    <n v="1203"/>
    <n v="53.3"/>
    <n v="47.68"/>
    <n v="49"/>
    <s v="Yes"/>
    <n v="0.72027972027972031"/>
    <n v="57359.040000000001"/>
    <n v="6760.86"/>
    <n v="4.0731504571903575E-2"/>
    <n v="0.86"/>
    <n v="0.10544090056285174"/>
  </r>
  <r>
    <s v="Vendor_01"/>
    <x v="0"/>
    <n v="2022"/>
    <s v="Electronics"/>
    <x v="1"/>
    <n v="1126"/>
    <n v="58.8"/>
    <n v="52.22"/>
    <n v="24"/>
    <s v="Yes"/>
    <n v="0.75886524822695034"/>
    <n v="58799.72"/>
    <n v="7409.08"/>
    <n v="2.1314387211367674E-2"/>
    <n v="0.94"/>
    <n v="0.11190476190476188"/>
  </r>
  <r>
    <s v="Vendor_04"/>
    <x v="4"/>
    <n v="2022"/>
    <s v="Packaging"/>
    <x v="1"/>
    <n v="1757"/>
    <n v="15.18"/>
    <n v="13.06"/>
    <n v="63"/>
    <s v="Yes"/>
    <n v="0.72289156626506024"/>
    <n v="22946.42"/>
    <n v="3724.84"/>
    <n v="3.5856573705179286E-2"/>
    <n v="0.98"/>
    <n v="0.13965744400527005"/>
  </r>
  <r>
    <s v="Vendor_04"/>
    <x v="4"/>
    <n v="2022"/>
    <s v="MRO"/>
    <x v="1"/>
    <n v="779"/>
    <n v="41.3"/>
    <n v="36.28"/>
    <n v="20"/>
    <s v="Yes"/>
    <n v="0.72289156626506024"/>
    <n v="28262.12"/>
    <n v="3910.58"/>
    <n v="2.5673940949935817E-2"/>
    <n v="0.98"/>
    <n v="0.121549636803874"/>
  </r>
  <r>
    <s v="Vendor_03"/>
    <x v="1"/>
    <n v="2023"/>
    <s v="Office Supplies"/>
    <x v="1"/>
    <n v="1745"/>
    <n v="23.53"/>
    <n v="22.57"/>
    <n v="282"/>
    <s v="No"/>
    <n v="0.70175438596491224"/>
    <n v="39384.65"/>
    <n v="1675.2"/>
    <n v="0.16160458452722062"/>
    <n v="0.39"/>
    <n v="4.07989800254994E-2"/>
  </r>
  <r>
    <s v="Vendor_03"/>
    <x v="1"/>
    <n v="2023"/>
    <s v="Raw Materials"/>
    <x v="1"/>
    <n v="1783"/>
    <n v="16.96"/>
    <n v="15.8"/>
    <n v="295"/>
    <s v="Yes"/>
    <n v="0.70175438596491224"/>
    <n v="28171.4"/>
    <n v="2068.2800000000002"/>
    <n v="0.16545148625911385"/>
    <n v="0.61"/>
    <n v="6.8396226415094338E-2"/>
  </r>
  <r>
    <s v="Vendor_01"/>
    <x v="0"/>
    <n v="2023"/>
    <s v="Office Supplies"/>
    <x v="2"/>
    <n v="1489"/>
    <n v="107.02"/>
    <n v="93.3"/>
    <n v="24"/>
    <s v="Yes"/>
    <n v="7.0921985815602842E-2"/>
    <n v="138923.70000000001"/>
    <n v="20429.080000000002"/>
    <n v="1.6118200134318333E-2"/>
    <n v="0.94"/>
    <n v="0.12820033638572229"/>
  </r>
  <r>
    <s v="Vendor_01"/>
    <x v="0"/>
    <n v="2022"/>
    <s v="Office Supplies"/>
    <x v="1"/>
    <n v="296"/>
    <n v="40.380000000000003"/>
    <n v="35.25"/>
    <n v="24"/>
    <s v="Yes"/>
    <n v="0.75886524822695034"/>
    <n v="10434"/>
    <n v="1518.48"/>
    <n v="8.1081081081081086E-2"/>
    <n v="0.94"/>
    <n v="0.12704309063893021"/>
  </r>
  <r>
    <s v="Vendor_04"/>
    <x v="4"/>
    <n v="2023"/>
    <s v="MRO"/>
    <x v="1"/>
    <n v="885"/>
    <n v="88.28"/>
    <n v="80.8"/>
    <n v="31"/>
    <s v="Yes"/>
    <n v="0.72289156626506024"/>
    <n v="71508"/>
    <n v="6619.8"/>
    <n v="3.5028248587570622E-2"/>
    <n v="0.98"/>
    <n v="8.4730403262347126E-2"/>
  </r>
  <r>
    <s v="Vendor_04"/>
    <x v="4"/>
    <n v="2022"/>
    <s v="Raw Materials"/>
    <x v="3"/>
    <n v="1512"/>
    <n v="33.25"/>
    <n v="30.15"/>
    <n v="53"/>
    <s v="Yes"/>
    <n v="0.10843373493975904"/>
    <n v="45586.8"/>
    <n v="4687.2"/>
    <n v="3.5052910052910051E-2"/>
    <n v="0.98"/>
    <n v="9.3233082706766959E-2"/>
  </r>
  <r>
    <s v="Vendor_03"/>
    <x v="1"/>
    <n v="2022"/>
    <s v="Office Supplies"/>
    <x v="1"/>
    <n v="252"/>
    <n v="73.12"/>
    <n v="67.64"/>
    <n v="155"/>
    <s v="No"/>
    <n v="0.70175438596491224"/>
    <n v="17045.28"/>
    <n v="1380.96"/>
    <n v="0.61507936507936511"/>
    <n v="0.39"/>
    <n v="7.4945295404814052E-2"/>
  </r>
  <r>
    <s v="Vendor_01"/>
    <x v="0"/>
    <n v="2023"/>
    <s v="Electronics"/>
    <x v="0"/>
    <n v="1257"/>
    <n v="83.13"/>
    <n v="81.89"/>
    <n v="30"/>
    <s v="Yes"/>
    <n v="9.2198581560283682E-2"/>
    <n v="102935.73"/>
    <n v="1558.68"/>
    <n v="2.386634844868735E-2"/>
    <n v="0.94"/>
    <n v="1.4916396006255201E-2"/>
  </r>
  <r>
    <s v="Vendor_01"/>
    <x v="0"/>
    <n v="2022"/>
    <s v="Packaging"/>
    <x v="1"/>
    <n v="172"/>
    <n v="63.61"/>
    <n v="55.92"/>
    <n v="4"/>
    <s v="Yes"/>
    <n v="0.75886524822695034"/>
    <n v="9618.24"/>
    <n v="1322.68"/>
    <n v="2.3255813953488372E-2"/>
    <n v="0.94"/>
    <n v="0.12089294136142112"/>
  </r>
  <r>
    <s v="Vendor_04"/>
    <x v="4"/>
    <n v="2023"/>
    <s v="Packaging"/>
    <x v="3"/>
    <n v="450"/>
    <n v="55.85"/>
    <n v="49.88"/>
    <n v="9"/>
    <s v="Yes"/>
    <n v="0.10843373493975904"/>
    <n v="22446"/>
    <n v="2686.5"/>
    <n v="0.02"/>
    <n v="0.98"/>
    <n v="0.10689346463742164"/>
  </r>
  <r>
    <s v="Vendor_05"/>
    <x v="2"/>
    <n v="2022"/>
    <s v="Electronics"/>
    <x v="1"/>
    <n v="816"/>
    <n v="48.95"/>
    <n v="43.42"/>
    <n v="45"/>
    <s v="Yes"/>
    <n v="0.72027972027972031"/>
    <n v="35430.720000000001"/>
    <n v="4512.4799999999996"/>
    <n v="5.514705882352941E-2"/>
    <n v="0.86"/>
    <n v="0.11297242083758939"/>
  </r>
  <r>
    <s v="Vendor_04"/>
    <x v="4"/>
    <n v="2023"/>
    <s v="Packaging"/>
    <x v="1"/>
    <n v="343"/>
    <n v="44.5"/>
    <n v="38.57"/>
    <n v="7"/>
    <s v="Yes"/>
    <n v="0.72289156626506024"/>
    <n v="13229.51"/>
    <n v="2033.99"/>
    <n v="2.0408163265306121E-2"/>
    <n v="0.98"/>
    <n v="0.13325842696629212"/>
  </r>
  <r>
    <s v="Vendor_05"/>
    <x v="2"/>
    <n v="2022"/>
    <s v="MRO"/>
    <x v="1"/>
    <n v="329"/>
    <n v="97.87"/>
    <n v="85.35"/>
    <n v="21"/>
    <s v="No"/>
    <n v="0.72027972027972031"/>
    <n v="28080.15"/>
    <n v="4119.08"/>
    <n v="6.3829787234042548E-2"/>
    <n v="0.14000000000000001"/>
    <n v="0.12792479820169622"/>
  </r>
  <r>
    <s v="Vendor_01"/>
    <x v="0"/>
    <n v="2023"/>
    <s v="Electronics"/>
    <x v="1"/>
    <n v="1910"/>
    <n v="90.69"/>
    <n v="85.8"/>
    <n v="24"/>
    <s v="Yes"/>
    <n v="0.75886524822695034"/>
    <n v="163878"/>
    <n v="9339.9"/>
    <n v="1.2565445026178011E-2"/>
    <n v="0.94"/>
    <n v="5.3919947072444602E-2"/>
  </r>
  <r>
    <s v="Vendor_04"/>
    <x v="4"/>
    <n v="2023"/>
    <s v="MRO"/>
    <x v="1"/>
    <n v="933"/>
    <n v="107.99"/>
    <n v="104.29"/>
    <n v="29"/>
    <s v="Yes"/>
    <n v="0.72289156626506024"/>
    <n v="97302.57"/>
    <n v="3452.1"/>
    <n v="3.1082529474812434E-2"/>
    <n v="0.98"/>
    <n v="3.4262431706639403E-2"/>
  </r>
  <r>
    <s v="Vendor_03"/>
    <x v="1"/>
    <n v="2023"/>
    <s v="Raw Materials"/>
    <x v="1"/>
    <n v="1683"/>
    <n v="23.09"/>
    <n v="21.88"/>
    <n v="253"/>
    <s v="Yes"/>
    <n v="0.70175438596491224"/>
    <n v="36824.04"/>
    <n v="2036.43"/>
    <n v="0.15032679738562091"/>
    <n v="0.61"/>
    <n v="5.240363793850155E-2"/>
  </r>
  <r>
    <s v="Vendor_02"/>
    <x v="3"/>
    <n v="2023"/>
    <s v="Packaging"/>
    <x v="3"/>
    <n v="247"/>
    <n v="84.11"/>
    <n v="71.97"/>
    <n v="105"/>
    <s v="Yes"/>
    <n v="0.12179487179487179"/>
    <n v="17776.59"/>
    <n v="2998.58"/>
    <n v="0.4251012145748988"/>
    <n v="0.76"/>
    <n v="0.14433479966710261"/>
  </r>
  <r>
    <s v="Vendor_01"/>
    <x v="0"/>
    <n v="2023"/>
    <s v="MRO"/>
    <x v="1"/>
    <n v="1031"/>
    <n v="102.01"/>
    <n v="98.65"/>
    <n v="24"/>
    <s v="Yes"/>
    <n v="0.75886524822695034"/>
    <n v="101708.15"/>
    <n v="3464.16"/>
    <n v="2.3278370514064017E-2"/>
    <n v="0.94"/>
    <n v="3.2937947260072535E-2"/>
  </r>
  <r>
    <s v="Vendor_01"/>
    <x v="0"/>
    <n v="2022"/>
    <s v="Packaging"/>
    <x v="1"/>
    <n v="1980"/>
    <n v="26.97"/>
    <n v="24.16"/>
    <n v="41"/>
    <s v="Yes"/>
    <n v="0.75886524822695034"/>
    <n v="47836.800000000003"/>
    <n v="5563.8"/>
    <n v="2.0707070707070709E-2"/>
    <n v="0.94"/>
    <n v="0.10418984056358913"/>
  </r>
  <r>
    <s v="Vendor_04"/>
    <x v="4"/>
    <n v="2022"/>
    <s v="Raw Materials"/>
    <x v="1"/>
    <n v="1584"/>
    <n v="16.46"/>
    <n v="14.2"/>
    <n v="57"/>
    <s v="Yes"/>
    <n v="0.72289156626506024"/>
    <n v="22492.799999999999"/>
    <n v="3579.84"/>
    <n v="3.5984848484848488E-2"/>
    <n v="0.98"/>
    <n v="0.1373025516403403"/>
  </r>
  <r>
    <s v="Vendor_02"/>
    <x v="3"/>
    <n v="2022"/>
    <s v="Office Supplies"/>
    <x v="1"/>
    <n v="801"/>
    <n v="80.150000000000006"/>
    <n v="70.91"/>
    <n v="105"/>
    <s v="Yes"/>
    <n v="0.70512820512820518"/>
    <n v="56798.91"/>
    <n v="7401.24"/>
    <n v="0.13108614232209737"/>
    <n v="0.76"/>
    <n v="0.11528384279475994"/>
  </r>
  <r>
    <s v="Vendor_02"/>
    <x v="3"/>
    <n v="2022"/>
    <s v="Packaging"/>
    <x v="1"/>
    <n v="193"/>
    <n v="63.86"/>
    <n v="57.46"/>
    <n v="105"/>
    <s v="Yes"/>
    <n v="0.70512820512820518"/>
    <n v="11089.78"/>
    <n v="1235.2"/>
    <n v="0.54404145077720212"/>
    <n v="0.76"/>
    <n v="0.1002192295646727"/>
  </r>
  <r>
    <s v="Vendor_02"/>
    <x v="3"/>
    <n v="2022"/>
    <s v="Raw Materials"/>
    <x v="1"/>
    <n v="658"/>
    <n v="86.62"/>
    <n v="79.849999999999994"/>
    <n v="72"/>
    <s v="Yes"/>
    <n v="0.70512820512820518"/>
    <n v="52541.3"/>
    <n v="4454.66"/>
    <n v="0.10942249240121581"/>
    <n v="0.76"/>
    <n v="7.8157469406603675E-2"/>
  </r>
  <r>
    <s v="Vendor_04"/>
    <x v="4"/>
    <n v="2023"/>
    <s v="Electronics"/>
    <x v="1"/>
    <n v="1274"/>
    <n v="24.72"/>
    <n v="23.36"/>
    <n v="37"/>
    <s v="Yes"/>
    <n v="0.72289156626506024"/>
    <n v="29760.639999999999"/>
    <n v="1732.64"/>
    <n v="2.9042386185243328E-2"/>
    <n v="0.98"/>
    <n v="5.5016181229773441E-2"/>
  </r>
  <r>
    <s v="Vendor_04"/>
    <x v="4"/>
    <n v="2023"/>
    <s v="Packaging"/>
    <x v="2"/>
    <n v="1197"/>
    <n v="88.92"/>
    <n v="78.819999999999993"/>
    <n v="31"/>
    <s v="Yes"/>
    <n v="8.4337349397590355E-2"/>
    <n v="94347.54"/>
    <n v="12089.7"/>
    <n v="2.5898078529657476E-2"/>
    <n v="0.98"/>
    <n v="0.11358524516419263"/>
  </r>
  <r>
    <s v="Vendor_05"/>
    <x v="2"/>
    <n v="2022"/>
    <s v="Electronics"/>
    <x v="1"/>
    <n v="236"/>
    <n v="28.43"/>
    <n v="28.11"/>
    <n v="11"/>
    <s v="Yes"/>
    <n v="0.72027972027972031"/>
    <n v="6633.96"/>
    <n v="75.52"/>
    <n v="4.6610169491525424E-2"/>
    <n v="0.86"/>
    <n v="1.1255715793176232E-2"/>
  </r>
  <r>
    <s v="Vendor_05"/>
    <x v="2"/>
    <n v="2022"/>
    <s v="Raw Materials"/>
    <x v="2"/>
    <n v="1399"/>
    <n v="25.97"/>
    <n v="22.19"/>
    <n v="62"/>
    <s v="Yes"/>
    <n v="0.12587412587412589"/>
    <n v="31043.81"/>
    <n v="5288.22"/>
    <n v="4.431736954967834E-2"/>
    <n v="0.86"/>
    <n v="0.14555256064690017"/>
  </r>
  <r>
    <s v="Vendor_05"/>
    <x v="2"/>
    <n v="2022"/>
    <s v="Electronics"/>
    <x v="1"/>
    <n v="513"/>
    <n v="24.91"/>
    <n v="22.58"/>
    <n v="29"/>
    <s v="Yes"/>
    <n v="0.72027972027972031"/>
    <n v="11583.54"/>
    <n v="1195.29"/>
    <n v="5.6530214424951264E-2"/>
    <n v="0.86"/>
    <n v="9.3536732236049858E-2"/>
  </r>
  <r>
    <s v="Vendor_03"/>
    <x v="1"/>
    <n v="2022"/>
    <s v="MRO"/>
    <x v="1"/>
    <n v="1422"/>
    <n v="83.73"/>
    <n v="76.47"/>
    <n v="198"/>
    <s v="Yes"/>
    <n v="0.70175438596491224"/>
    <n v="108740.34"/>
    <n v="10323.719999999999"/>
    <n v="0.13924050632911392"/>
    <n v="0.61"/>
    <n v="8.6707273378717364E-2"/>
  </r>
  <r>
    <s v="Vendor_01"/>
    <x v="0"/>
    <n v="2023"/>
    <s v="Office Supplies"/>
    <x v="1"/>
    <n v="1844"/>
    <n v="76.510000000000005"/>
    <n v="73.05"/>
    <n v="24"/>
    <s v="Yes"/>
    <n v="0.75886524822695034"/>
    <n v="134704.20000000001"/>
    <n v="6380.24"/>
    <n v="1.3015184381778741E-2"/>
    <n v="0.94"/>
    <n v="4.5222846686707723E-2"/>
  </r>
  <r>
    <s v="Vendor_05"/>
    <x v="2"/>
    <n v="2023"/>
    <s v="Electronics"/>
    <x v="1"/>
    <n v="709"/>
    <n v="61.64"/>
    <n v="54.55"/>
    <n v="41"/>
    <s v="Yes"/>
    <n v="0.72027972027972031"/>
    <n v="38675.949999999997"/>
    <n v="5026.8100000000004"/>
    <n v="5.7827926657263752E-2"/>
    <n v="0.86"/>
    <n v="0.11502271252433491"/>
  </r>
  <r>
    <s v="Vendor_03"/>
    <x v="1"/>
    <n v="2023"/>
    <s v="MRO"/>
    <x v="1"/>
    <n v="813"/>
    <n v="45.68"/>
    <n v="41.78"/>
    <n v="155"/>
    <s v="No"/>
    <n v="0.70175438596491224"/>
    <n v="33967.14"/>
    <n v="3170.7"/>
    <n v="0.19065190651906519"/>
    <n v="0.39"/>
    <n v="8.5376532399299446E-2"/>
  </r>
  <r>
    <s v="Vendor_03"/>
    <x v="1"/>
    <n v="2023"/>
    <s v="Office Supplies"/>
    <x v="1"/>
    <n v="1004"/>
    <n v="96.51"/>
    <n v="92.9"/>
    <n v="146"/>
    <s v="No"/>
    <n v="0.70175438596491224"/>
    <n v="93271.6"/>
    <n v="3624.44"/>
    <n v="0.1454183266932271"/>
    <n v="0.39"/>
    <n v="3.7405450212413212E-2"/>
  </r>
  <r>
    <s v="Vendor_04"/>
    <x v="4"/>
    <n v="2022"/>
    <s v="Raw Materials"/>
    <x v="1"/>
    <n v="452"/>
    <n v="46.45"/>
    <n v="40.39"/>
    <n v="9"/>
    <s v="Yes"/>
    <n v="0.72289156626506024"/>
    <n v="18256.28"/>
    <n v="2739.12"/>
    <n v="1.9911504424778761E-2"/>
    <n v="0.98"/>
    <n v="0.13046286329386442"/>
  </r>
  <r>
    <s v="Vendor_02"/>
    <x v="3"/>
    <n v="2022"/>
    <s v="Raw Materials"/>
    <x v="3"/>
    <n v="1419"/>
    <n v="83.91"/>
    <n v="71.459999999999994"/>
    <n v="137"/>
    <s v="Yes"/>
    <n v="0.12179487179487179"/>
    <n v="101401.74"/>
    <n v="17666.55"/>
    <n v="9.654686398872446E-2"/>
    <n v="0.76"/>
    <n v="0.14837325706113696"/>
  </r>
  <r>
    <s v="Vendor_02"/>
    <x v="3"/>
    <n v="2023"/>
    <s v="Packaging"/>
    <x v="1"/>
    <n v="1584"/>
    <n v="53.73"/>
    <n v="51.92"/>
    <n v="167"/>
    <s v="No"/>
    <n v="0.70512820512820518"/>
    <n v="82241.279999999999"/>
    <n v="2867.04"/>
    <n v="0.10542929292929293"/>
    <n v="0.24"/>
    <n v="3.3686953284943144E-2"/>
  </r>
  <r>
    <s v="Vendor_05"/>
    <x v="2"/>
    <n v="2022"/>
    <s v="MRO"/>
    <x v="3"/>
    <n v="196"/>
    <n v="44.36"/>
    <n v="43.81"/>
    <n v="6"/>
    <s v="Yes"/>
    <n v="0.11188811188811189"/>
    <n v="8586.76"/>
    <n v="107.8"/>
    <n v="3.0612244897959183E-2"/>
    <n v="0.86"/>
    <n v="1.239855725879164E-2"/>
  </r>
  <r>
    <s v="Vendor_01"/>
    <x v="0"/>
    <n v="2022"/>
    <s v="Office Supplies"/>
    <x v="1"/>
    <n v="1221"/>
    <n v="53.19"/>
    <n v="46.18"/>
    <n v="29"/>
    <s v="Yes"/>
    <n v="0.75886524822695034"/>
    <n v="56385.78"/>
    <n v="8559.2099999999991"/>
    <n v="2.375102375102375E-2"/>
    <n v="0.94"/>
    <n v="0.13179169016732464"/>
  </r>
  <r>
    <s v="Vendor_01"/>
    <x v="0"/>
    <n v="2022"/>
    <s v="Packaging"/>
    <x v="1"/>
    <n v="913"/>
    <n v="37.5"/>
    <n v="36.200000000000003"/>
    <n v="24"/>
    <s v="Yes"/>
    <n v="0.75886524822695034"/>
    <n v="33050.6"/>
    <n v="1186.9000000000001"/>
    <n v="2.628696604600219E-2"/>
    <n v="0.94"/>
    <n v="3.4666666666666589E-2"/>
  </r>
  <r>
    <s v="Vendor_01"/>
    <x v="0"/>
    <n v="2023"/>
    <s v="Packaging"/>
    <x v="1"/>
    <n v="1784"/>
    <n v="85.01"/>
    <n v="76.69"/>
    <n v="37"/>
    <s v="Yes"/>
    <n v="0.75886524822695034"/>
    <n v="136814.96"/>
    <n v="14842.88"/>
    <n v="2.0739910313901346E-2"/>
    <n v="0.94"/>
    <n v="9.7870838724855982E-2"/>
  </r>
  <r>
    <s v="Vendor_03"/>
    <x v="1"/>
    <n v="2022"/>
    <s v="Raw Materials"/>
    <x v="1"/>
    <n v="1893"/>
    <n v="55.8"/>
    <n v="52.35"/>
    <n v="155"/>
    <s v="Yes"/>
    <n v="0.70175438596491224"/>
    <n v="99098.55"/>
    <n v="6530.85"/>
    <n v="8.1880612783940834E-2"/>
    <n v="0.61"/>
    <n v="6.1827956989247236E-2"/>
  </r>
  <r>
    <s v="Vendor_03"/>
    <x v="1"/>
    <n v="2023"/>
    <s v="Electronics"/>
    <x v="3"/>
    <n v="538"/>
    <n v="34.299999999999997"/>
    <n v="32.25"/>
    <n v="84"/>
    <s v="No"/>
    <n v="9.9415204678362568E-2"/>
    <n v="17350.5"/>
    <n v="1102.9000000000001"/>
    <n v="0.15613382899628253"/>
    <n v="0.39"/>
    <n v="5.9766763848396423E-2"/>
  </r>
  <r>
    <s v="Vendor_03"/>
    <x v="1"/>
    <n v="2022"/>
    <s v="Office Supplies"/>
    <x v="3"/>
    <n v="978"/>
    <n v="94.15"/>
    <n v="87.7"/>
    <n v="149"/>
    <s v="No"/>
    <n v="9.9415204678362568E-2"/>
    <n v="85770.6"/>
    <n v="6308.1"/>
    <n v="0.15235173824130879"/>
    <n v="0.39"/>
    <n v="6.8507700477960731E-2"/>
  </r>
  <r>
    <s v="Vendor_04"/>
    <x v="4"/>
    <n v="2023"/>
    <s v="Raw Materials"/>
    <x v="0"/>
    <n v="1713"/>
    <n v="47.45"/>
    <n v="42.05"/>
    <n v="53"/>
    <s v="Yes"/>
    <n v="8.4337349397590355E-2"/>
    <n v="72031.649999999994"/>
    <n v="9250.2000000000007"/>
    <n v="3.0939871570344425E-2"/>
    <n v="0.98"/>
    <n v="0.11380400421496323"/>
  </r>
  <r>
    <s v="Vendor_03"/>
    <x v="1"/>
    <n v="2022"/>
    <s v="Raw Materials"/>
    <x v="3"/>
    <n v="600"/>
    <n v="60.1"/>
    <n v="57.92"/>
    <n v="95"/>
    <s v="No"/>
    <n v="9.9415204678362568E-2"/>
    <n v="34752"/>
    <n v="1308"/>
    <n v="0.15833333333333333"/>
    <n v="0.39"/>
    <n v="3.6272878535773705E-2"/>
  </r>
  <r>
    <s v="Vendor_01"/>
    <x v="0"/>
    <n v="2023"/>
    <s v="Electronics"/>
    <x v="3"/>
    <n v="387"/>
    <n v="100.28"/>
    <n v="85.54"/>
    <n v="5"/>
    <s v="Yes"/>
    <n v="7.8014184397163122E-2"/>
    <n v="33103.980000000003"/>
    <n v="5704.38"/>
    <n v="1.2919896640826873E-2"/>
    <n v="0.94"/>
    <n v="0.14698843238930989"/>
  </r>
  <r>
    <s v="Vendor_01"/>
    <x v="0"/>
    <n v="2022"/>
    <s v="MRO"/>
    <x v="3"/>
    <n v="921"/>
    <n v="68.83"/>
    <n v="59.13"/>
    <n v="22"/>
    <s v="Yes"/>
    <n v="7.8014184397163122E-2"/>
    <n v="54458.73"/>
    <n v="8933.7000000000007"/>
    <n v="2.3887079261672096E-2"/>
    <n v="0.94"/>
    <n v="0.14092692140055202"/>
  </r>
  <r>
    <s v="Vendor_02"/>
    <x v="3"/>
    <n v="2023"/>
    <s v="MRO"/>
    <x v="1"/>
    <n v="690"/>
    <n v="22.47"/>
    <n v="21.94"/>
    <n v="77"/>
    <s v="Yes"/>
    <n v="0.70512820512820518"/>
    <n v="15138.6"/>
    <n v="365.7"/>
    <n v="0.11159420289855072"/>
    <n v="0.76"/>
    <n v="2.3587004895416003E-2"/>
  </r>
  <r>
    <s v="Vendor_01"/>
    <x v="0"/>
    <n v="2023"/>
    <s v="Office Supplies"/>
    <x v="0"/>
    <n v="1852"/>
    <n v="104.04"/>
    <n v="94.89"/>
    <n v="36"/>
    <s v="Yes"/>
    <n v="9.2198581560283682E-2"/>
    <n v="175736.28"/>
    <n v="16945.8"/>
    <n v="1.9438444924406047E-2"/>
    <n v="0.94"/>
    <n v="8.7946943483275711E-2"/>
  </r>
  <r>
    <s v="Vendor_03"/>
    <x v="1"/>
    <n v="2022"/>
    <s v="Electronics"/>
    <x v="1"/>
    <n v="522"/>
    <n v="66.83"/>
    <n v="58.01"/>
    <n v="74"/>
    <s v="Yes"/>
    <n v="0.70175438596491224"/>
    <n v="30281.22"/>
    <n v="4604.04"/>
    <n v="0.1417624521072797"/>
    <n v="0.61"/>
    <n v="0.1319766571898848"/>
  </r>
  <r>
    <s v="Vendor_03"/>
    <x v="1"/>
    <n v="2023"/>
    <s v="Electronics"/>
    <x v="1"/>
    <n v="200"/>
    <n v="44.16"/>
    <n v="43.13"/>
    <n v="21"/>
    <s v="Yes"/>
    <n v="0.70175438596491224"/>
    <n v="8626"/>
    <n v="206"/>
    <n v="0.105"/>
    <n v="0.61"/>
    <n v="2.3324275362318708E-2"/>
  </r>
  <r>
    <s v="Vendor_05"/>
    <x v="2"/>
    <n v="2022"/>
    <s v="Packaging"/>
    <x v="1"/>
    <n v="1488"/>
    <n v="22.76"/>
    <n v="21.99"/>
    <n v="55"/>
    <s v="Yes"/>
    <n v="0.72027972027972031"/>
    <n v="32721.119999999999"/>
    <n v="1145.76"/>
    <n v="3.6962365591397851E-2"/>
    <n v="0.86"/>
    <n v="3.3831282952548468E-2"/>
  </r>
  <r>
    <s v="Vendor_04"/>
    <x v="4"/>
    <n v="2023"/>
    <s v="Electronics"/>
    <x v="1"/>
    <n v="1371"/>
    <n v="87.16"/>
    <n v="78.13"/>
    <n v="43"/>
    <s v="Yes"/>
    <n v="0.72289156626506024"/>
    <n v="107116.23"/>
    <n v="12380.13"/>
    <n v="3.1363967906637494E-2"/>
    <n v="0.98"/>
    <n v="0.10360256998623224"/>
  </r>
  <r>
    <s v="Vendor_01"/>
    <x v="0"/>
    <n v="2023"/>
    <s v="Office Supplies"/>
    <x v="1"/>
    <n v="1684"/>
    <n v="73.05"/>
    <n v="62.53"/>
    <n v="24"/>
    <s v="Yes"/>
    <n v="0.75886524822695034"/>
    <n v="105300.52"/>
    <n v="17715.68"/>
    <n v="1.4251781472684086E-2"/>
    <n v="0.94"/>
    <n v="0.14401095140314848"/>
  </r>
  <r>
    <s v="Vendor_04"/>
    <x v="4"/>
    <n v="2023"/>
    <s v="Electronics"/>
    <x v="1"/>
    <n v="312"/>
    <n v="63.52"/>
    <n v="58.09"/>
    <n v="33"/>
    <s v="Yes"/>
    <n v="0.72289156626506024"/>
    <n v="18124.080000000002"/>
    <n v="1694.16"/>
    <n v="0.10576923076923077"/>
    <n v="0.98"/>
    <n v="8.5484886649874053E-2"/>
  </r>
  <r>
    <s v="Vendor_01"/>
    <x v="0"/>
    <n v="2023"/>
    <s v="Packaging"/>
    <x v="0"/>
    <n v="1837"/>
    <n v="99.04"/>
    <n v="86.51"/>
    <n v="39"/>
    <s v="Yes"/>
    <n v="9.2198581560283682E-2"/>
    <n v="158918.87"/>
    <n v="23017.61"/>
    <n v="2.1230266739248774E-2"/>
    <n v="0.94"/>
    <n v="0.12651453957996769"/>
  </r>
  <r>
    <s v="Vendor_02"/>
    <x v="3"/>
    <n v="2023"/>
    <s v="MRO"/>
    <x v="1"/>
    <n v="193"/>
    <n v="87.86"/>
    <n v="81.739999999999995"/>
    <n v="21"/>
    <s v="Yes"/>
    <n v="0.70512820512820518"/>
    <n v="15775.82"/>
    <n v="1181.1600000000001"/>
    <n v="0.10880829015544041"/>
    <n v="0.76"/>
    <n v="6.965627134076946E-2"/>
  </r>
  <r>
    <s v="Vendor_02"/>
    <x v="3"/>
    <n v="2022"/>
    <s v="Electronics"/>
    <x v="1"/>
    <n v="395"/>
    <n v="24.83"/>
    <n v="23.96"/>
    <n v="31"/>
    <s v="Yes"/>
    <n v="0.70512820512820518"/>
    <n v="9464.2000000000007"/>
    <n v="343.65"/>
    <n v="7.848101265822785E-2"/>
    <n v="0.76"/>
    <n v="3.5038260169150119E-2"/>
  </r>
  <r>
    <s v="Vendor_04"/>
    <x v="4"/>
    <n v="2022"/>
    <s v="Electronics"/>
    <x v="0"/>
    <n v="673"/>
    <n v="39.58"/>
    <n v="35.83"/>
    <n v="25"/>
    <s v="Yes"/>
    <n v="8.4337349397590355E-2"/>
    <n v="24113.59"/>
    <n v="2523.75"/>
    <n v="3.7147102526002972E-2"/>
    <n v="0.98"/>
    <n v="9.4744820616472963E-2"/>
  </r>
  <r>
    <s v="Vendor_03"/>
    <x v="1"/>
    <n v="2022"/>
    <s v="Office Supplies"/>
    <x v="0"/>
    <n v="1066"/>
    <n v="33.33"/>
    <n v="28.47"/>
    <n v="162"/>
    <s v="No"/>
    <n v="9.3567251461988299E-2"/>
    <n v="30349.02"/>
    <n v="5180.76"/>
    <n v="0.15196998123827393"/>
    <n v="0.39"/>
    <n v="0.1458145814581458"/>
  </r>
  <r>
    <s v="Vendor_05"/>
    <x v="2"/>
    <n v="2023"/>
    <s v="Packaging"/>
    <x v="1"/>
    <n v="1645"/>
    <n v="85.42"/>
    <n v="80.78"/>
    <n v="73"/>
    <s v="No"/>
    <n v="0.72027972027972031"/>
    <n v="132883.1"/>
    <n v="7632.8"/>
    <n v="4.4376899696048633E-2"/>
    <n v="0.14000000000000001"/>
    <n v="5.4319831421212834E-2"/>
  </r>
  <r>
    <s v="Vendor_01"/>
    <x v="0"/>
    <n v="2022"/>
    <s v="Electronics"/>
    <x v="1"/>
    <n v="930"/>
    <n v="13.67"/>
    <n v="11.95"/>
    <n v="16"/>
    <s v="Yes"/>
    <n v="0.75886524822695034"/>
    <n v="11113.5"/>
    <n v="1599.6"/>
    <n v="1.7204301075268817E-2"/>
    <n v="0.94"/>
    <n v="0.12582297000731535"/>
  </r>
  <r>
    <s v="Vendor_01"/>
    <x v="0"/>
    <n v="2022"/>
    <s v="Office Supplies"/>
    <x v="1"/>
    <n v="51"/>
    <n v="63.74"/>
    <n v="56.1"/>
    <n v="0"/>
    <s v="Yes"/>
    <n v="0.75886524822695034"/>
    <n v="2861.1"/>
    <n v="389.64"/>
    <n v="0"/>
    <n v="0.94"/>
    <n v="0.11986193912770632"/>
  </r>
  <r>
    <s v="Vendor_05"/>
    <x v="2"/>
    <n v="2022"/>
    <s v="Packaging"/>
    <x v="1"/>
    <n v="946"/>
    <n v="81.77"/>
    <n v="71.650000000000006"/>
    <n v="55"/>
    <s v="Yes"/>
    <n v="0.72027972027972031"/>
    <n v="67780.899999999994"/>
    <n v="9573.52"/>
    <n v="5.8139534883720929E-2"/>
    <n v="0.86"/>
    <n v="0.12376177082059424"/>
  </r>
  <r>
    <s v="Vendor_04"/>
    <x v="4"/>
    <n v="2023"/>
    <s v="Raw Materials"/>
    <x v="2"/>
    <n v="1377"/>
    <n v="94.69"/>
    <n v="84.2"/>
    <n v="33"/>
    <s v="Yes"/>
    <n v="8.4337349397590355E-2"/>
    <n v="115943.4"/>
    <n v="14444.73"/>
    <n v="2.3965141612200435E-2"/>
    <n v="0.98"/>
    <n v="0.11078255359594461"/>
  </r>
  <r>
    <s v="Vendor_04"/>
    <x v="4"/>
    <n v="2022"/>
    <s v="Packaging"/>
    <x v="0"/>
    <n v="303"/>
    <n v="41.6"/>
    <n v="40.51"/>
    <n v="11"/>
    <s v="Yes"/>
    <n v="8.4337349397590355E-2"/>
    <n v="12274.53"/>
    <n v="330.27"/>
    <n v="3.6303630363036306E-2"/>
    <n v="0.98"/>
    <n v="2.6201923076923157E-2"/>
  </r>
  <r>
    <s v="Vendor_01"/>
    <x v="0"/>
    <n v="2023"/>
    <s v="Raw Materials"/>
    <x v="1"/>
    <n v="1725"/>
    <n v="93.14"/>
    <n v="79.62"/>
    <n v="24"/>
    <s v="Yes"/>
    <n v="0.75886524822695034"/>
    <n v="137344.5"/>
    <n v="23322"/>
    <n v="1.391304347826087E-2"/>
    <n v="0.94"/>
    <n v="0.1451578269272063"/>
  </r>
  <r>
    <s v="Vendor_02"/>
    <x v="3"/>
    <n v="2023"/>
    <s v="Raw Materials"/>
    <x v="0"/>
    <n v="502"/>
    <n v="22.05"/>
    <n v="20.65"/>
    <n v="50"/>
    <s v="No"/>
    <n v="8.9743589743589744E-2"/>
    <n v="10366.299999999999"/>
    <n v="702.8"/>
    <n v="9.9601593625498003E-2"/>
    <n v="0.24"/>
    <n v="6.3492063492063586E-2"/>
  </r>
  <r>
    <s v="Vendor_05"/>
    <x v="2"/>
    <n v="2022"/>
    <s v="Packaging"/>
    <x v="1"/>
    <n v="1110"/>
    <n v="90.49"/>
    <n v="80.03"/>
    <n v="61"/>
    <s v="Yes"/>
    <n v="0.72027972027972031"/>
    <n v="88833.3"/>
    <n v="11610.6"/>
    <n v="5.4954954954954956E-2"/>
    <n v="0.86"/>
    <n v="0.11559288319151281"/>
  </r>
  <r>
    <s v="Vendor_01"/>
    <x v="0"/>
    <n v="2023"/>
    <s v="Packaging"/>
    <x v="1"/>
    <n v="1233"/>
    <n v="23.08"/>
    <n v="20.57"/>
    <n v="24"/>
    <s v="Yes"/>
    <n v="0.75886524822695034"/>
    <n v="25362.81"/>
    <n v="3094.83"/>
    <n v="1.9464720194647202E-2"/>
    <n v="0.94"/>
    <n v="0.10875216637781621"/>
  </r>
  <r>
    <s v="Vendor_02"/>
    <x v="3"/>
    <n v="2022"/>
    <s v="Office Supplies"/>
    <x v="1"/>
    <n v="1064"/>
    <n v="48.04"/>
    <n v="43.6"/>
    <n v="94"/>
    <s v="Yes"/>
    <n v="0.70512820512820518"/>
    <n v="46390.400000000001"/>
    <n v="4724.16"/>
    <n v="8.834586466165413E-2"/>
    <n v="0.76"/>
    <n v="9.2422980849292208E-2"/>
  </r>
  <r>
    <s v="Vendor_04"/>
    <x v="4"/>
    <n v="2022"/>
    <s v="Packaging"/>
    <x v="2"/>
    <n v="58"/>
    <n v="82.57"/>
    <n v="76.55"/>
    <n v="33"/>
    <s v="Yes"/>
    <n v="8.4337349397590355E-2"/>
    <n v="4439.8999999999996"/>
    <n v="349.16"/>
    <n v="0.56896551724137934"/>
    <n v="0.98"/>
    <n v="7.2907835775705421E-2"/>
  </r>
  <r>
    <s v="Vendor_02"/>
    <x v="3"/>
    <n v="2022"/>
    <s v="MRO"/>
    <x v="1"/>
    <n v="1306"/>
    <n v="23.49"/>
    <n v="20.170000000000002"/>
    <n v="116"/>
    <s v="No"/>
    <n v="0.70512820512820518"/>
    <n v="26342.02"/>
    <n v="4335.92"/>
    <n v="8.8820826952526799E-2"/>
    <n v="0.24"/>
    <n v="0.14133673903788832"/>
  </r>
  <r>
    <s v="Vendor_03"/>
    <x v="1"/>
    <n v="2023"/>
    <s v="Electronics"/>
    <x v="1"/>
    <n v="1172"/>
    <n v="32.93"/>
    <n v="29.28"/>
    <n v="155"/>
    <s v="No"/>
    <n v="0.70175438596491224"/>
    <n v="34316.160000000003"/>
    <n v="4277.8"/>
    <n v="0.13225255972696245"/>
    <n v="0.39"/>
    <n v="0.11084117825690855"/>
  </r>
  <r>
    <s v="Vendor_01"/>
    <x v="0"/>
    <n v="2023"/>
    <s v="Packaging"/>
    <x v="1"/>
    <n v="1732"/>
    <n v="82.5"/>
    <n v="71.709999999999994"/>
    <n v="24"/>
    <s v="Yes"/>
    <n v="0.75886524822695034"/>
    <n v="124201.72"/>
    <n v="18688.28"/>
    <n v="1.3856812933025405E-2"/>
    <n v="0.94"/>
    <n v="0.13078787878787887"/>
  </r>
  <r>
    <s v="Vendor_05"/>
    <x v="2"/>
    <n v="2023"/>
    <s v="Raw Materials"/>
    <x v="1"/>
    <n v="865"/>
    <n v="81.540000000000006"/>
    <n v="71.59"/>
    <n v="39"/>
    <s v="Yes"/>
    <n v="0.72027972027972031"/>
    <n v="61925.35"/>
    <n v="8606.75"/>
    <n v="4.5086705202312137E-2"/>
    <n v="0.86"/>
    <n v="0.12202599950944325"/>
  </r>
  <r>
    <s v="Vendor_02"/>
    <x v="3"/>
    <n v="2022"/>
    <s v="Raw Materials"/>
    <x v="1"/>
    <n v="257"/>
    <n v="68.72"/>
    <n v="66.92"/>
    <n v="22"/>
    <s v="Yes"/>
    <n v="0.70512820512820518"/>
    <n v="17198.439999999999"/>
    <n v="462.6"/>
    <n v="8.5603112840466927E-2"/>
    <n v="0.76"/>
    <n v="2.619324796274734E-2"/>
  </r>
  <r>
    <s v="Vendor_04"/>
    <x v="4"/>
    <n v="2022"/>
    <s v="Packaging"/>
    <x v="1"/>
    <n v="1204"/>
    <n v="73.180000000000007"/>
    <n v="67.59"/>
    <n v="31"/>
    <s v="Yes"/>
    <n v="0.72289156626506024"/>
    <n v="81378.36"/>
    <n v="6730.36"/>
    <n v="2.5747508305647839E-2"/>
    <n v="0.98"/>
    <n v="7.6386990981142433E-2"/>
  </r>
  <r>
    <s v="Vendor_02"/>
    <x v="3"/>
    <n v="2023"/>
    <s v="Electronics"/>
    <x v="2"/>
    <n v="453"/>
    <n v="64.14"/>
    <n v="60.18"/>
    <n v="51"/>
    <s v="Yes"/>
    <n v="8.3333333333333329E-2"/>
    <n v="27261.54"/>
    <n v="1793.88"/>
    <n v="0.11258278145695365"/>
    <n v="0.76"/>
    <n v="6.1739943872778313E-2"/>
  </r>
  <r>
    <s v="Vendor_04"/>
    <x v="4"/>
    <n v="2022"/>
    <s v="Electronics"/>
    <x v="1"/>
    <n v="201"/>
    <n v="33.81"/>
    <n v="32.54"/>
    <n v="3"/>
    <s v="Yes"/>
    <n v="0.72289156626506024"/>
    <n v="6540.54"/>
    <n v="255.27"/>
    <n v="1.4925373134328358E-2"/>
    <n v="0.98"/>
    <n v="3.756285122744759E-2"/>
  </r>
  <r>
    <s v="Vendor_03"/>
    <x v="1"/>
    <n v="2023"/>
    <s v="Office Supplies"/>
    <x v="1"/>
    <n v="103"/>
    <n v="44.61"/>
    <n v="42.88"/>
    <n v="10"/>
    <s v="Yes"/>
    <n v="0.70175438596491224"/>
    <n v="4416.6400000000003"/>
    <n v="178.19"/>
    <n v="9.7087378640776698E-2"/>
    <n v="0.61"/>
    <n v="3.8780542479264671E-2"/>
  </r>
  <r>
    <s v="Vendor_04"/>
    <x v="4"/>
    <n v="2022"/>
    <s v="Office Supplies"/>
    <x v="1"/>
    <n v="1193"/>
    <n v="27.4"/>
    <n v="27.09"/>
    <n v="33"/>
    <s v="Yes"/>
    <n v="0.72289156626506024"/>
    <n v="32318.37"/>
    <n v="369.83"/>
    <n v="2.7661357921207042E-2"/>
    <n v="0.98"/>
    <n v="1.131386861313864E-2"/>
  </r>
  <r>
    <s v="Vendor_05"/>
    <x v="2"/>
    <n v="2022"/>
    <s v="Office Supplies"/>
    <x v="2"/>
    <n v="1746"/>
    <n v="93.6"/>
    <n v="89.81"/>
    <n v="85"/>
    <s v="Yes"/>
    <n v="0.12587412587412589"/>
    <n v="156808.26"/>
    <n v="6617.34"/>
    <n v="4.868270332187858E-2"/>
    <n v="0.86"/>
    <n v="4.049145299145291E-2"/>
  </r>
  <r>
    <s v="Vendor_03"/>
    <x v="1"/>
    <n v="2022"/>
    <s v="Electronics"/>
    <x v="1"/>
    <n v="1993"/>
    <n v="65.94"/>
    <n v="59.36"/>
    <n v="155"/>
    <s v="Yes"/>
    <n v="0.70175438596491224"/>
    <n v="118304.48"/>
    <n v="13113.94"/>
    <n v="7.7772202709483193E-2"/>
    <n v="0.61"/>
    <n v="9.9787685774946899E-2"/>
  </r>
  <r>
    <s v="Vendor_02"/>
    <x v="3"/>
    <n v="2022"/>
    <s v="Raw Materials"/>
    <x v="1"/>
    <n v="677"/>
    <n v="46.54"/>
    <n v="43.11"/>
    <n v="105"/>
    <s v="No"/>
    <n v="0.70512820512820518"/>
    <n v="29185.47"/>
    <n v="2322.11"/>
    <n v="0.15509601181683899"/>
    <n v="0.24"/>
    <n v="7.370004297378599E-2"/>
  </r>
  <r>
    <s v="Vendor_01"/>
    <x v="0"/>
    <n v="2022"/>
    <s v="Office Supplies"/>
    <x v="3"/>
    <n v="636"/>
    <n v="53.64"/>
    <n v="49.23"/>
    <n v="18"/>
    <s v="Yes"/>
    <n v="7.8014184397163122E-2"/>
    <n v="31310.28"/>
    <n v="2804.76"/>
    <n v="2.8301886792452831E-2"/>
    <n v="0.94"/>
    <n v="8.2214765100671203E-2"/>
  </r>
  <r>
    <s v="Vendor_04"/>
    <x v="4"/>
    <n v="2023"/>
    <s v="Packaging"/>
    <x v="1"/>
    <n v="1698"/>
    <n v="100.97"/>
    <n v="98.73"/>
    <n v="52"/>
    <s v="Yes"/>
    <n v="0.72289156626506024"/>
    <n v="167643.54"/>
    <n v="3803.52"/>
    <n v="3.0624263839811542E-2"/>
    <n v="0.98"/>
    <n v="2.2184807368525253E-2"/>
  </r>
  <r>
    <s v="Vendor_05"/>
    <x v="2"/>
    <n v="2022"/>
    <s v="Office Supplies"/>
    <x v="1"/>
    <n v="1493"/>
    <n v="24.87"/>
    <n v="22.89"/>
    <n v="56"/>
    <s v="Yes"/>
    <n v="0.72027972027972031"/>
    <n v="34174.769999999997"/>
    <n v="2956.14"/>
    <n v="3.7508372404554589E-2"/>
    <n v="0.86"/>
    <n v="7.9613992762364305E-2"/>
  </r>
  <r>
    <s v="Vendor_01"/>
    <x v="0"/>
    <n v="2022"/>
    <s v="Packaging"/>
    <x v="1"/>
    <n v="1495"/>
    <n v="64.33"/>
    <n v="58.18"/>
    <n v="26"/>
    <s v="Yes"/>
    <n v="0.75886524822695034"/>
    <n v="86979.1"/>
    <n v="9194.25"/>
    <n v="1.7391304347826087E-2"/>
    <n v="0.94"/>
    <n v="9.5600808332037907E-2"/>
  </r>
  <r>
    <s v="Vendor_01"/>
    <x v="0"/>
    <n v="2023"/>
    <s v="Packaging"/>
    <x v="0"/>
    <n v="153"/>
    <n v="59.42"/>
    <n v="52"/>
    <n v="3"/>
    <s v="Yes"/>
    <n v="9.2198581560283682E-2"/>
    <n v="7956"/>
    <n v="1135.26"/>
    <n v="1.9607843137254902E-2"/>
    <n v="0.94"/>
    <n v="0.12487377987209697"/>
  </r>
  <r>
    <s v="Vendor_03"/>
    <x v="1"/>
    <n v="2023"/>
    <s v="Raw Materials"/>
    <x v="0"/>
    <n v="1925"/>
    <n v="70.88"/>
    <n v="63.41"/>
    <n v="292"/>
    <s v="Yes"/>
    <n v="9.3567251461988299E-2"/>
    <n v="122064.25"/>
    <n v="14379.75"/>
    <n v="0.15168831168831168"/>
    <n v="0.61"/>
    <n v="0.10538939051918735"/>
  </r>
  <r>
    <s v="Vendor_02"/>
    <x v="3"/>
    <n v="2023"/>
    <s v="Packaging"/>
    <x v="1"/>
    <n v="303"/>
    <n v="12.97"/>
    <n v="11.42"/>
    <n v="105"/>
    <s v="No"/>
    <n v="0.70512820512820518"/>
    <n v="3460.26"/>
    <n v="469.65"/>
    <n v="0.34653465346534651"/>
    <n v="0.24"/>
    <n v="0.11950655358519666"/>
  </r>
  <r>
    <s v="Vendor_01"/>
    <x v="0"/>
    <n v="2022"/>
    <s v="Office Supplies"/>
    <x v="1"/>
    <n v="1300"/>
    <n v="92.92"/>
    <n v="90.63"/>
    <n v="24"/>
    <s v="Yes"/>
    <n v="0.75886524822695034"/>
    <n v="117819"/>
    <n v="2977"/>
    <n v="1.8461538461538463E-2"/>
    <n v="0.94"/>
    <n v="2.4644855789926885E-2"/>
  </r>
  <r>
    <s v="Vendor_05"/>
    <x v="2"/>
    <n v="2023"/>
    <s v="Raw Materials"/>
    <x v="1"/>
    <n v="1185"/>
    <n v="103.28"/>
    <n v="99.05"/>
    <n v="55"/>
    <s v="Yes"/>
    <n v="0.72027972027972031"/>
    <n v="117374.25"/>
    <n v="5012.55"/>
    <n v="4.6413502109704644E-2"/>
    <n v="0.86"/>
    <n v="4.0956622773044189E-2"/>
  </r>
  <r>
    <s v="Vendor_04"/>
    <x v="4"/>
    <n v="2023"/>
    <s v="Raw Materials"/>
    <x v="1"/>
    <n v="559"/>
    <n v="67.56"/>
    <n v="57.98"/>
    <n v="15"/>
    <s v="Yes"/>
    <n v="0.72289156626506024"/>
    <n v="32410.82"/>
    <n v="5355.22"/>
    <n v="2.6833631484794274E-2"/>
    <n v="0.98"/>
    <n v="0.14179988158673779"/>
  </r>
  <r>
    <s v="Vendor_04"/>
    <x v="4"/>
    <n v="2023"/>
    <s v="Electronics"/>
    <x v="3"/>
    <n v="1546"/>
    <n v="78.88"/>
    <n v="78"/>
    <n v="38"/>
    <s v="Yes"/>
    <n v="0.10843373493975904"/>
    <n v="120588"/>
    <n v="1360.48"/>
    <n v="2.4579560155239329E-2"/>
    <n v="0.98"/>
    <n v="1.1156186612576008E-2"/>
  </r>
  <r>
    <s v="Vendor_04"/>
    <x v="4"/>
    <n v="2022"/>
    <s v="Packaging"/>
    <x v="1"/>
    <n v="148"/>
    <n v="93.02"/>
    <n v="85.96"/>
    <n v="4"/>
    <s v="Yes"/>
    <n v="0.72289156626506024"/>
    <n v="12722.08"/>
    <n v="1044.8800000000001"/>
    <n v="2.7027027027027029E-2"/>
    <n v="0.98"/>
    <n v="7.5897656417974663E-2"/>
  </r>
  <r>
    <s v="Vendor_03"/>
    <x v="1"/>
    <n v="2023"/>
    <s v="Office Supplies"/>
    <x v="1"/>
    <n v="202"/>
    <n v="81.75"/>
    <n v="78.260000000000005"/>
    <n v="37"/>
    <s v="No"/>
    <n v="0.70175438596491224"/>
    <n v="15808.52"/>
    <n v="704.98"/>
    <n v="0.18316831683168316"/>
    <n v="0.39"/>
    <n v="4.2691131498470883E-2"/>
  </r>
  <r>
    <s v="Vendor_05"/>
    <x v="2"/>
    <n v="2023"/>
    <s v="Packaging"/>
    <x v="1"/>
    <n v="1934"/>
    <n v="25.86"/>
    <n v="25.6"/>
    <n v="78"/>
    <s v="Yes"/>
    <n v="0.72027972027972031"/>
    <n v="49510.400000000001"/>
    <n v="502.84"/>
    <n v="4.0330920372285417E-2"/>
    <n v="0.86"/>
    <n v="1.0054137664346404E-2"/>
  </r>
  <r>
    <s v="Vendor_01"/>
    <x v="0"/>
    <n v="2022"/>
    <s v="Office Supplies"/>
    <x v="1"/>
    <n v="963"/>
    <n v="64.959999999999994"/>
    <n v="64.069999999999993"/>
    <n v="20"/>
    <s v="Yes"/>
    <n v="0.75886524822695034"/>
    <n v="61699.41"/>
    <n v="857.07"/>
    <n v="2.0768431983385256E-2"/>
    <n v="0.94"/>
    <n v="1.3700738916256167E-2"/>
  </r>
  <r>
    <s v="Vendor_05"/>
    <x v="2"/>
    <n v="2023"/>
    <s v="MRO"/>
    <x v="1"/>
    <n v="1969"/>
    <n v="71.709999999999994"/>
    <n v="61.96"/>
    <n v="55"/>
    <s v="Yes"/>
    <n v="0.72027972027972031"/>
    <n v="121999.24"/>
    <n v="19197.75"/>
    <n v="2.7932960893854747E-2"/>
    <n v="0.86"/>
    <n v="0.13596430065541756"/>
  </r>
  <r>
    <s v="Vendor_03"/>
    <x v="1"/>
    <n v="2022"/>
    <s v="Electronics"/>
    <x v="1"/>
    <n v="927"/>
    <n v="48.89"/>
    <n v="46.05"/>
    <n v="138"/>
    <s v="Yes"/>
    <n v="0.70175438596491224"/>
    <n v="42688.35"/>
    <n v="2632.68"/>
    <n v="0.14886731391585761"/>
    <n v="0.61"/>
    <n v="5.8089588872980227E-2"/>
  </r>
  <r>
    <s v="Vendor_03"/>
    <x v="1"/>
    <n v="2022"/>
    <s v="Raw Materials"/>
    <x v="0"/>
    <n v="387"/>
    <n v="77.81"/>
    <n v="69.040000000000006"/>
    <n v="67"/>
    <s v="Yes"/>
    <n v="9.3567251461988299E-2"/>
    <n v="26718.48"/>
    <n v="3393.99"/>
    <n v="0.1731266149870801"/>
    <n v="0.61"/>
    <n v="0.11271044852846672"/>
  </r>
  <r>
    <s v="Vendor_02"/>
    <x v="3"/>
    <n v="2022"/>
    <s v="Electronics"/>
    <x v="1"/>
    <n v="1779"/>
    <n v="97.86"/>
    <n v="94.36"/>
    <n v="176"/>
    <s v="Yes"/>
    <n v="0.70512820512820518"/>
    <n v="167866.44"/>
    <n v="6226.5"/>
    <n v="9.8931984260820685E-2"/>
    <n v="0.76"/>
    <n v="3.5765379113018601E-2"/>
  </r>
  <r>
    <s v="Vendor_05"/>
    <x v="2"/>
    <n v="2022"/>
    <s v="MRO"/>
    <x v="3"/>
    <n v="871"/>
    <n v="94.7"/>
    <n v="92.66"/>
    <n v="46"/>
    <s v="Yes"/>
    <n v="0.11188811188811189"/>
    <n v="80706.86"/>
    <n v="1776.84"/>
    <n v="5.2812858783008038E-2"/>
    <n v="0.86"/>
    <n v="2.1541710665258777E-2"/>
  </r>
  <r>
    <s v="Vendor_04"/>
    <x v="4"/>
    <n v="2022"/>
    <s v="Electronics"/>
    <x v="1"/>
    <n v="1236"/>
    <n v="51.33"/>
    <n v="44.03"/>
    <n v="25"/>
    <s v="Yes"/>
    <n v="0.72289156626506024"/>
    <n v="54421.08"/>
    <n v="9022.7999999999993"/>
    <n v="2.0226537216828478E-2"/>
    <n v="0.98"/>
    <n v="0.14221702707968045"/>
  </r>
  <r>
    <s v="Vendor_03"/>
    <x v="1"/>
    <n v="2023"/>
    <s v="Electronics"/>
    <x v="1"/>
    <n v="1793"/>
    <n v="22.01"/>
    <n v="21.78"/>
    <n v="285"/>
    <s v="Yes"/>
    <n v="0.70175438596491224"/>
    <n v="39051.54"/>
    <n v="412.39"/>
    <n v="0.15895147796988288"/>
    <n v="0.61"/>
    <n v="1.0449795547478437E-2"/>
  </r>
  <r>
    <s v="Vendor_03"/>
    <x v="1"/>
    <n v="2022"/>
    <s v="MRO"/>
    <x v="1"/>
    <n v="1006"/>
    <n v="101.1"/>
    <n v="89.04"/>
    <n v="139"/>
    <s v="Yes"/>
    <n v="0.70175438596491224"/>
    <n v="89574.24"/>
    <n v="12132.36"/>
    <n v="0.13817097415506957"/>
    <n v="0.61"/>
    <n v="0.11928783382789307"/>
  </r>
  <r>
    <s v="Vendor_02"/>
    <x v="3"/>
    <n v="2022"/>
    <s v="Electronics"/>
    <x v="0"/>
    <n v="1754"/>
    <n v="89.35"/>
    <n v="86.54"/>
    <n v="161"/>
    <s v="No"/>
    <n v="8.9743589743589744E-2"/>
    <n v="151791.16"/>
    <n v="4928.74"/>
    <n v="9.1790193842645376E-2"/>
    <n v="0.24"/>
    <n v="3.1449356463346262E-2"/>
  </r>
  <r>
    <s v="Vendor_04"/>
    <x v="4"/>
    <n v="2022"/>
    <s v="Electronics"/>
    <x v="1"/>
    <n v="210"/>
    <n v="22.17"/>
    <n v="21.32"/>
    <n v="10"/>
    <s v="Yes"/>
    <n v="0.72289156626506024"/>
    <n v="4477.2"/>
    <n v="178.5"/>
    <n v="4.7619047619047616E-2"/>
    <n v="0.98"/>
    <n v="3.8340099233198074E-2"/>
  </r>
  <r>
    <s v="Vendor_03"/>
    <x v="1"/>
    <n v="2023"/>
    <s v="MRO"/>
    <x v="1"/>
    <n v="1653"/>
    <n v="102.16"/>
    <n v="91.91"/>
    <n v="217"/>
    <s v="Yes"/>
    <n v="0.70175438596491224"/>
    <n v="151927.23000000001"/>
    <n v="16943.25"/>
    <n v="0.13127646702964307"/>
    <n v="0.61"/>
    <n v="0.10033281127642914"/>
  </r>
  <r>
    <s v="Vendor_01"/>
    <x v="0"/>
    <n v="2022"/>
    <s v="MRO"/>
    <x v="2"/>
    <n v="850"/>
    <n v="91.38"/>
    <n v="88.41"/>
    <n v="24"/>
    <s v="Yes"/>
    <n v="7.0921985815602842E-2"/>
    <n v="75148.5"/>
    <n v="2524.5"/>
    <n v="2.823529411764706E-2"/>
    <n v="0.94"/>
    <n v="3.2501641497045292E-2"/>
  </r>
  <r>
    <s v="Vendor_04"/>
    <x v="4"/>
    <n v="2022"/>
    <s v="Raw Materials"/>
    <x v="1"/>
    <n v="447"/>
    <n v="59.81"/>
    <n v="57.92"/>
    <n v="13"/>
    <s v="Yes"/>
    <n v="0.72289156626506024"/>
    <n v="25890.240000000002"/>
    <n v="844.83"/>
    <n v="2.9082774049217001E-2"/>
    <n v="0.98"/>
    <n v="3.1600066878448428E-2"/>
  </r>
  <r>
    <s v="Vendor_05"/>
    <x v="2"/>
    <n v="2022"/>
    <s v="Office Supplies"/>
    <x v="1"/>
    <n v="1350"/>
    <n v="65.11"/>
    <n v="56.95"/>
    <n v="71"/>
    <s v="Yes"/>
    <n v="0.72027972027972031"/>
    <n v="76882.5"/>
    <n v="11016"/>
    <n v="5.2592592592592594E-2"/>
    <n v="0.86"/>
    <n v="0.12532637075718012"/>
  </r>
  <r>
    <s v="Vendor_02"/>
    <x v="3"/>
    <n v="2023"/>
    <s v="Office Supplies"/>
    <x v="1"/>
    <n v="865"/>
    <n v="51.19"/>
    <n v="47.76"/>
    <n v="83"/>
    <s v="Yes"/>
    <n v="0.70512820512820518"/>
    <n v="41312.400000000001"/>
    <n v="2966.95"/>
    <n v="9.595375722543352E-2"/>
    <n v="0.76"/>
    <n v="6.7005274467669462E-2"/>
  </r>
  <r>
    <s v="Vendor_01"/>
    <x v="0"/>
    <n v="2023"/>
    <s v="MRO"/>
    <x v="1"/>
    <n v="1989"/>
    <n v="16.5"/>
    <n v="15.89"/>
    <n v="57"/>
    <s v="Yes"/>
    <n v="0.75886524822695034"/>
    <n v="31605.21"/>
    <n v="1213.29"/>
    <n v="2.8657616892911009E-2"/>
    <n v="0.94"/>
    <n v="3.6969696969696937E-2"/>
  </r>
  <r>
    <s v="Vendor_01"/>
    <x v="0"/>
    <n v="2022"/>
    <s v="Office Supplies"/>
    <x v="1"/>
    <n v="1577"/>
    <n v="41.77"/>
    <n v="39.58"/>
    <n v="32"/>
    <s v="Yes"/>
    <n v="0.75886524822695034"/>
    <n v="62417.66"/>
    <n v="3453.63"/>
    <n v="2.0291693088142042E-2"/>
    <n v="0.94"/>
    <n v="5.2429973665310145E-2"/>
  </r>
  <r>
    <s v="Vendor_05"/>
    <x v="2"/>
    <n v="2023"/>
    <s v="Packaging"/>
    <x v="3"/>
    <n v="1969"/>
    <n v="89.25"/>
    <n v="87.28"/>
    <n v="108"/>
    <s v="No"/>
    <n v="0.11188811188811189"/>
    <n v="171854.32"/>
    <n v="3878.93"/>
    <n v="5.485017775520569E-2"/>
    <n v="0.14000000000000001"/>
    <n v="2.2072829131652649E-2"/>
  </r>
  <r>
    <s v="Vendor_02"/>
    <x v="3"/>
    <n v="2023"/>
    <s v="Packaging"/>
    <x v="2"/>
    <n v="1465"/>
    <n v="11.25"/>
    <n v="9.61"/>
    <n v="151"/>
    <s v="Yes"/>
    <n v="8.3333333333333329E-2"/>
    <n v="14078.65"/>
    <n v="2402.6"/>
    <n v="0.10307167235494881"/>
    <n v="0.76"/>
    <n v="0.14577777777777784"/>
  </r>
  <r>
    <s v="Vendor_03"/>
    <x v="1"/>
    <n v="2022"/>
    <s v="Packaging"/>
    <x v="3"/>
    <n v="1208"/>
    <n v="41.62"/>
    <n v="39.46"/>
    <n v="155"/>
    <s v="Yes"/>
    <n v="9.9415204678362568E-2"/>
    <n v="47667.68"/>
    <n v="2609.2800000000002"/>
    <n v="0.12831125827814568"/>
    <n v="0.61"/>
    <n v="5.1898125901009048E-2"/>
  </r>
  <r>
    <s v="Vendor_02"/>
    <x v="3"/>
    <n v="2022"/>
    <s v="Raw Materials"/>
    <x v="1"/>
    <n v="1268"/>
    <n v="46.06"/>
    <n v="45.26"/>
    <n v="123"/>
    <s v="Yes"/>
    <n v="0.70512820512820518"/>
    <n v="57389.68"/>
    <n v="1014.4"/>
    <n v="9.7003154574132486E-2"/>
    <n v="0.76"/>
    <n v="1.7368649587494664E-2"/>
  </r>
  <r>
    <s v="Vendor_03"/>
    <x v="1"/>
    <n v="2022"/>
    <s v="Office Supplies"/>
    <x v="1"/>
    <n v="450"/>
    <n v="59.24"/>
    <n v="55.03"/>
    <n v="68"/>
    <s v="No"/>
    <n v="0.70175438596491224"/>
    <n v="24763.5"/>
    <n v="1894.5"/>
    <n v="0.15111111111111111"/>
    <n v="0.39"/>
    <n v="7.1066846725185692E-2"/>
  </r>
  <r>
    <s v="Vendor_05"/>
    <x v="2"/>
    <n v="2023"/>
    <s v="Electronics"/>
    <x v="2"/>
    <n v="689"/>
    <n v="102.53"/>
    <n v="95.23"/>
    <n v="38"/>
    <s v="Yes"/>
    <n v="0.12587412587412589"/>
    <n v="65613.47"/>
    <n v="5029.7"/>
    <n v="5.5152394775036286E-2"/>
    <n v="0.86"/>
    <n v="7.1198673558958328E-2"/>
  </r>
  <r>
    <s v="Vendor_05"/>
    <x v="2"/>
    <n v="2023"/>
    <s v="MRO"/>
    <x v="1"/>
    <n v="1106"/>
    <n v="44.05"/>
    <n v="38.6"/>
    <n v="51"/>
    <s v="Yes"/>
    <n v="0.72027972027972031"/>
    <n v="42691.6"/>
    <n v="6027.7"/>
    <n v="4.6112115732368897E-2"/>
    <n v="0.86"/>
    <n v="0.12372304199772977"/>
  </r>
  <r>
    <s v="Vendor_01"/>
    <x v="0"/>
    <n v="2022"/>
    <s v="Office Supplies"/>
    <x v="1"/>
    <n v="737"/>
    <n v="43.08"/>
    <n v="42.58"/>
    <n v="21"/>
    <s v="Yes"/>
    <n v="0.75886524822695034"/>
    <n v="31381.46"/>
    <n v="368.5"/>
    <n v="2.8493894165535955E-2"/>
    <n v="0.94"/>
    <n v="1.1606313834726092E-2"/>
  </r>
  <r>
    <s v="Vendor_01"/>
    <x v="0"/>
    <n v="2022"/>
    <s v="Raw Materials"/>
    <x v="1"/>
    <n v="509"/>
    <n v="76.760000000000005"/>
    <n v="74.72"/>
    <n v="7"/>
    <s v="No"/>
    <n v="0.75886524822695034"/>
    <n v="38032.480000000003"/>
    <n v="1038.3599999999999"/>
    <n v="1.37524557956778E-2"/>
    <n v="0.06"/>
    <n v="2.6576341844710867E-2"/>
  </r>
  <r>
    <s v="Vendor_01"/>
    <x v="0"/>
    <n v="2022"/>
    <s v="Electronics"/>
    <x v="1"/>
    <n v="1004"/>
    <n v="50.7"/>
    <n v="46.59"/>
    <n v="27"/>
    <s v="Yes"/>
    <n v="0.75886524822695034"/>
    <n v="46776.36"/>
    <n v="4126.4399999999996"/>
    <n v="2.6892430278884463E-2"/>
    <n v="0.94"/>
    <n v="8.1065088757396431E-2"/>
  </r>
  <r>
    <s v="Vendor_05"/>
    <x v="2"/>
    <n v="2022"/>
    <s v="MRO"/>
    <x v="3"/>
    <n v="1956"/>
    <n v="31.88"/>
    <n v="28.48"/>
    <n v="86"/>
    <s v="Yes"/>
    <n v="0.11188811188811189"/>
    <n v="55706.879999999997"/>
    <n v="6650.4"/>
    <n v="4.396728016359918E-2"/>
    <n v="0.86"/>
    <n v="0.10664993726474274"/>
  </r>
  <r>
    <s v="Vendor_03"/>
    <x v="1"/>
    <n v="2022"/>
    <s v="Electronics"/>
    <x v="1"/>
    <n v="519"/>
    <n v="51.73"/>
    <n v="47.52"/>
    <n v="81"/>
    <s v="No"/>
    <n v="0.70175438596491224"/>
    <n v="24662.880000000001"/>
    <n v="2184.9899999999998"/>
    <n v="0.15606936416184972"/>
    <n v="0.39"/>
    <n v="8.1384109800889115E-2"/>
  </r>
  <r>
    <s v="Vendor_05"/>
    <x v="2"/>
    <n v="2023"/>
    <s v="MRO"/>
    <x v="2"/>
    <n v="1448"/>
    <n v="25.06"/>
    <n v="21.62"/>
    <n v="84"/>
    <s v="Yes"/>
    <n v="0.12587412587412589"/>
    <n v="31305.759999999998"/>
    <n v="4981.12"/>
    <n v="5.8011049723756904E-2"/>
    <n v="0.86"/>
    <n v="0.13727055067837182"/>
  </r>
  <r>
    <s v="Vendor_05"/>
    <x v="2"/>
    <n v="2022"/>
    <s v="Packaging"/>
    <x v="1"/>
    <n v="1095"/>
    <n v="26.91"/>
    <n v="23.75"/>
    <n v="53"/>
    <s v="Yes"/>
    <n v="0.72027972027972031"/>
    <n v="26006.25"/>
    <n v="3460.2"/>
    <n v="4.8401826484018265E-2"/>
    <n v="0.86"/>
    <n v="0.11742846525455222"/>
  </r>
  <r>
    <s v="Vendor_01"/>
    <x v="0"/>
    <n v="2022"/>
    <s v="MRO"/>
    <x v="1"/>
    <n v="799"/>
    <n v="56.22"/>
    <n v="49.51"/>
    <n v="18"/>
    <s v="Yes"/>
    <n v="0.75886524822695034"/>
    <n v="39558.49"/>
    <n v="5361.29"/>
    <n v="2.2528160200250311E-2"/>
    <n v="0.94"/>
    <n v="0.1193525435787976"/>
  </r>
  <r>
    <s v="Vendor_02"/>
    <x v="3"/>
    <n v="2023"/>
    <s v="MRO"/>
    <x v="2"/>
    <n v="1743"/>
    <n v="51.04"/>
    <n v="47.15"/>
    <n v="160"/>
    <s v="Yes"/>
    <n v="8.3333333333333329E-2"/>
    <n v="82182.45"/>
    <n v="6780.27"/>
    <n v="9.1795754446356861E-2"/>
    <n v="0.76"/>
    <n v="7.6214733542319765E-2"/>
  </r>
  <r>
    <s v="Vendor_01"/>
    <x v="0"/>
    <n v="2023"/>
    <s v="Raw Materials"/>
    <x v="1"/>
    <n v="87"/>
    <n v="100.65"/>
    <n v="85.56"/>
    <n v="1"/>
    <s v="Yes"/>
    <n v="0.75886524822695034"/>
    <n v="7443.72"/>
    <n v="1312.83"/>
    <n v="1.1494252873563218E-2"/>
    <n v="0.94"/>
    <n v="0.14992548435171388"/>
  </r>
  <r>
    <s v="Vendor_02"/>
    <x v="3"/>
    <n v="2023"/>
    <s v="Raw Materials"/>
    <x v="1"/>
    <n v="279"/>
    <n v="47.52"/>
    <n v="46.5"/>
    <n v="28"/>
    <s v="No"/>
    <n v="0.70512820512820518"/>
    <n v="12973.5"/>
    <n v="284.58"/>
    <n v="0.1003584229390681"/>
    <n v="0.24"/>
    <n v="2.146464646464653E-2"/>
  </r>
  <r>
    <s v="Vendor_03"/>
    <x v="1"/>
    <n v="2023"/>
    <s v="Raw Materials"/>
    <x v="1"/>
    <n v="1438"/>
    <n v="66.61"/>
    <n v="58.5"/>
    <n v="237"/>
    <s v="Yes"/>
    <n v="0.70175438596491224"/>
    <n v="84123"/>
    <n v="11662.18"/>
    <n v="0.16481223922114047"/>
    <n v="0.61"/>
    <n v="0.12175349046689686"/>
  </r>
  <r>
    <s v="Vendor_03"/>
    <x v="1"/>
    <n v="2023"/>
    <s v="Office Supplies"/>
    <x v="2"/>
    <n v="612"/>
    <n v="72.930000000000007"/>
    <n v="63.32"/>
    <n v="99"/>
    <s v="Yes"/>
    <n v="0.10526315789473684"/>
    <n v="38751.839999999997"/>
    <n v="5881.32"/>
    <n v="0.16176470588235295"/>
    <n v="0.61"/>
    <n v="0.13177019059372008"/>
  </r>
  <r>
    <s v="Vendor_04"/>
    <x v="4"/>
    <n v="2022"/>
    <s v="Packaging"/>
    <x v="3"/>
    <n v="487"/>
    <n v="11.18"/>
    <n v="10.63"/>
    <n v="15"/>
    <s v="Yes"/>
    <n v="0.10843373493975904"/>
    <n v="5176.8100000000004"/>
    <n v="267.85000000000002"/>
    <n v="3.0800821355236138E-2"/>
    <n v="0.98"/>
    <n v="4.9194991055456078E-2"/>
  </r>
  <r>
    <s v="Vendor_04"/>
    <x v="4"/>
    <n v="2022"/>
    <s v="Packaging"/>
    <x v="2"/>
    <n v="1849"/>
    <n v="70.760000000000005"/>
    <n v="69.25"/>
    <n v="51"/>
    <s v="Yes"/>
    <n v="8.4337349397590355E-2"/>
    <n v="128043.25"/>
    <n v="2791.99"/>
    <n v="2.7582477014602487E-2"/>
    <n v="0.98"/>
    <n v="2.1339739966082603E-2"/>
  </r>
  <r>
    <s v="Vendor_04"/>
    <x v="4"/>
    <n v="2022"/>
    <s v="MRO"/>
    <x v="2"/>
    <n v="1356"/>
    <n v="26.28"/>
    <n v="25.44"/>
    <n v="47"/>
    <s v="Yes"/>
    <n v="8.4337349397590355E-2"/>
    <n v="34496.639999999999"/>
    <n v="1139.04"/>
    <n v="3.466076696165192E-2"/>
    <n v="0.98"/>
    <n v="3.1963470319634694E-2"/>
  </r>
  <r>
    <s v="Vendor_03"/>
    <x v="1"/>
    <n v="2023"/>
    <s v="Raw Materials"/>
    <x v="1"/>
    <n v="76"/>
    <n v="107.59"/>
    <n v="96.33"/>
    <n v="10"/>
    <s v="Yes"/>
    <n v="0.70175438596491224"/>
    <n v="7321.08"/>
    <n v="855.76"/>
    <n v="0.13157894736842105"/>
    <n v="0.61"/>
    <n v="0.10465656659540853"/>
  </r>
  <r>
    <s v="Vendor_01"/>
    <x v="0"/>
    <n v="2022"/>
    <s v="Packaging"/>
    <x v="2"/>
    <n v="275"/>
    <n v="23.96"/>
    <n v="20.440000000000001"/>
    <n v="24"/>
    <s v="Yes"/>
    <n v="7.0921985815602842E-2"/>
    <n v="5621"/>
    <n v="968"/>
    <n v="8.727272727272728E-2"/>
    <n v="0.94"/>
    <n v="0.14691151919866441"/>
  </r>
  <r>
    <s v="Vendor_01"/>
    <x v="0"/>
    <n v="2023"/>
    <s v="Packaging"/>
    <x v="1"/>
    <n v="1350"/>
    <n v="51.57"/>
    <n v="48.07"/>
    <n v="24"/>
    <s v="Yes"/>
    <n v="0.75886524822695034"/>
    <n v="64894.5"/>
    <n v="4725"/>
    <n v="1.7777777777777778E-2"/>
    <n v="0.94"/>
    <n v="6.7868916036455298E-2"/>
  </r>
  <r>
    <s v="Vendor_01"/>
    <x v="0"/>
    <n v="2022"/>
    <s v="MRO"/>
    <x v="1"/>
    <n v="847"/>
    <n v="17.77"/>
    <n v="17.39"/>
    <n v="24"/>
    <s v="Yes"/>
    <n v="0.75886524822695034"/>
    <n v="14729.33"/>
    <n v="321.86"/>
    <n v="2.833530106257379E-2"/>
    <n v="0.94"/>
    <n v="2.138435565559927E-2"/>
  </r>
  <r>
    <s v="Vendor_05"/>
    <x v="2"/>
    <n v="2023"/>
    <s v="MRO"/>
    <x v="1"/>
    <n v="1682"/>
    <n v="105.7"/>
    <n v="101.3"/>
    <n v="94"/>
    <s v="Yes"/>
    <n v="0.72027972027972031"/>
    <n v="170386.6"/>
    <n v="7400.8"/>
    <n v="5.5885850178359099E-2"/>
    <n v="0.86"/>
    <n v="4.1627246925260222E-2"/>
  </r>
  <r>
    <s v="Vendor_04"/>
    <x v="4"/>
    <n v="2023"/>
    <s v="Electronics"/>
    <x v="1"/>
    <n v="333"/>
    <n v="60.44"/>
    <n v="58.54"/>
    <n v="8"/>
    <s v="Yes"/>
    <n v="0.72289156626506024"/>
    <n v="19493.82"/>
    <n v="632.70000000000005"/>
    <n v="2.4024024024024024E-2"/>
    <n v="0.98"/>
    <n v="3.1436135009927181E-2"/>
  </r>
  <r>
    <s v="Vendor_01"/>
    <x v="0"/>
    <n v="2023"/>
    <s v="Electronics"/>
    <x v="0"/>
    <n v="928"/>
    <n v="69.31"/>
    <n v="67.260000000000005"/>
    <n v="20"/>
    <s v="Yes"/>
    <n v="9.2198581560283682E-2"/>
    <n v="62417.279999999999"/>
    <n v="1902.4"/>
    <n v="2.1551724137931036E-2"/>
    <n v="0.94"/>
    <n v="2.9577261578415771E-2"/>
  </r>
  <r>
    <s v="Vendor_04"/>
    <x v="4"/>
    <n v="2022"/>
    <s v="MRO"/>
    <x v="2"/>
    <n v="1009"/>
    <n v="16.440000000000001"/>
    <n v="16.18"/>
    <n v="33"/>
    <s v="Yes"/>
    <n v="8.4337349397590355E-2"/>
    <n v="16325.62"/>
    <n v="262.33999999999997"/>
    <n v="3.2705649157581763E-2"/>
    <n v="0.98"/>
    <n v="1.5815085158150947E-2"/>
  </r>
  <r>
    <s v="Vendor_04"/>
    <x v="4"/>
    <n v="2023"/>
    <s v="Electronics"/>
    <x v="3"/>
    <n v="1554"/>
    <n v="82.92"/>
    <n v="74.819999999999993"/>
    <n v="44"/>
    <s v="Yes"/>
    <n v="0.10843373493975904"/>
    <n v="116270.28"/>
    <n v="12587.4"/>
    <n v="2.8314028314028315E-2"/>
    <n v="0.98"/>
    <n v="9.7684515195369137E-2"/>
  </r>
  <r>
    <s v="Vendor_05"/>
    <x v="2"/>
    <n v="2022"/>
    <s v="Packaging"/>
    <x v="2"/>
    <n v="502"/>
    <n v="29.47"/>
    <n v="28.94"/>
    <n v="27"/>
    <s v="Yes"/>
    <n v="0.12587412587412589"/>
    <n v="14527.88"/>
    <n v="266.06"/>
    <n v="5.3784860557768925E-2"/>
    <n v="0.86"/>
    <n v="1.7984390906006027E-2"/>
  </r>
  <r>
    <s v="Vendor_03"/>
    <x v="1"/>
    <n v="2022"/>
    <s v="MRO"/>
    <x v="1"/>
    <n v="1069"/>
    <n v="91.28"/>
    <n v="82.64"/>
    <n v="155"/>
    <s v="Yes"/>
    <n v="0.70175438596491224"/>
    <n v="88342.16"/>
    <n v="9236.16"/>
    <n v="0.1449953227315248"/>
    <n v="0.61"/>
    <n v="9.4653812445223487E-2"/>
  </r>
  <r>
    <s v="Vendor_01"/>
    <x v="0"/>
    <n v="2022"/>
    <s v="MRO"/>
    <x v="3"/>
    <n v="1902"/>
    <n v="29.89"/>
    <n v="25.83"/>
    <n v="41"/>
    <s v="Yes"/>
    <n v="7.8014184397163122E-2"/>
    <n v="49128.66"/>
    <n v="7722.12"/>
    <n v="2.1556256572029444E-2"/>
    <n v="0.94"/>
    <n v="0.13583138173302114"/>
  </r>
  <r>
    <s v="Vendor_05"/>
    <x v="2"/>
    <n v="2023"/>
    <s v="Raw Materials"/>
    <x v="3"/>
    <n v="865"/>
    <n v="28.79"/>
    <n v="25.69"/>
    <n v="47"/>
    <s v="Yes"/>
    <n v="0.11188811188811189"/>
    <n v="22221.85"/>
    <n v="2681.5"/>
    <n v="5.4335260115606937E-2"/>
    <n v="0.86"/>
    <n v="0.10767627648489052"/>
  </r>
  <r>
    <s v="Vendor_03"/>
    <x v="1"/>
    <n v="2022"/>
    <s v="Packaging"/>
    <x v="2"/>
    <n v="708"/>
    <n v="13.36"/>
    <n v="11.61"/>
    <n v="155"/>
    <s v="No"/>
    <n v="0.10526315789473684"/>
    <n v="8219.8799999999992"/>
    <n v="1239"/>
    <n v="0.21892655367231639"/>
    <n v="0.39"/>
    <n v="0.1309880239520958"/>
  </r>
  <r>
    <s v="Vendor_03"/>
    <x v="1"/>
    <n v="2023"/>
    <s v="Packaging"/>
    <x v="1"/>
    <n v="1589"/>
    <n v="55.64"/>
    <n v="48.52"/>
    <n v="155"/>
    <s v="Yes"/>
    <n v="0.70175438596491224"/>
    <n v="77098.28"/>
    <n v="11313.68"/>
    <n v="9.754562617998741E-2"/>
    <n v="0.61"/>
    <n v="0.12796549245147371"/>
  </r>
  <r>
    <s v="Vendor_01"/>
    <x v="0"/>
    <n v="2022"/>
    <s v="Office Supplies"/>
    <x v="1"/>
    <n v="596"/>
    <n v="62.96"/>
    <n v="61.88"/>
    <n v="9"/>
    <s v="Yes"/>
    <n v="0.75886524822695034"/>
    <n v="36880.480000000003"/>
    <n v="643.67999999999995"/>
    <n v="1.5100671140939598E-2"/>
    <n v="0.94"/>
    <n v="1.7153748411689936E-2"/>
  </r>
  <r>
    <s v="Vendor_04"/>
    <x v="4"/>
    <n v="2023"/>
    <s v="Office Supplies"/>
    <x v="1"/>
    <n v="1265"/>
    <n v="17.66"/>
    <n v="16.97"/>
    <n v="34"/>
    <s v="Yes"/>
    <n v="0.72289156626506024"/>
    <n v="21467.05"/>
    <n v="872.85"/>
    <n v="2.6877470355731226E-2"/>
    <n v="0.98"/>
    <n v="3.907134767836927E-2"/>
  </r>
  <r>
    <s v="Vendor_02"/>
    <x v="3"/>
    <n v="2022"/>
    <s v="Raw Materials"/>
    <x v="1"/>
    <n v="1122"/>
    <n v="82.99"/>
    <n v="81.7"/>
    <n v="118"/>
    <s v="No"/>
    <n v="0.70512820512820518"/>
    <n v="91667.4"/>
    <n v="1447.38"/>
    <n v="0.10516934046345811"/>
    <n v="0.24"/>
    <n v="1.5544041450777106E-2"/>
  </r>
  <r>
    <s v="Vendor_04"/>
    <x v="4"/>
    <n v="2023"/>
    <s v="Office Supplies"/>
    <x v="1"/>
    <n v="1585"/>
    <n v="56.38"/>
    <n v="53.05"/>
    <n v="33"/>
    <s v="Yes"/>
    <n v="0.72289156626506024"/>
    <n v="84084.25"/>
    <n v="5278.05"/>
    <n v="2.082018927444795E-2"/>
    <n v="0.98"/>
    <n v="5.9063497694217898E-2"/>
  </r>
  <r>
    <s v="Vendor_04"/>
    <x v="4"/>
    <n v="2022"/>
    <s v="Electronics"/>
    <x v="1"/>
    <n v="66"/>
    <n v="58.05"/>
    <n v="50.76"/>
    <n v="33"/>
    <s v="Yes"/>
    <n v="0.72289156626506024"/>
    <n v="3350.16"/>
    <n v="481.14"/>
    <n v="0.5"/>
    <n v="0.98"/>
    <n v="0.12558139534883719"/>
  </r>
  <r>
    <s v="Vendor_02"/>
    <x v="3"/>
    <n v="2022"/>
    <s v="MRO"/>
    <x v="1"/>
    <n v="1245"/>
    <n v="52.4"/>
    <n v="51.65"/>
    <n v="118"/>
    <s v="No"/>
    <n v="0.70512820512820518"/>
    <n v="64304.25"/>
    <n v="933.75"/>
    <n v="9.4779116465863456E-2"/>
    <n v="0.24"/>
    <n v="1.4312977099236641E-2"/>
  </r>
  <r>
    <s v="Vendor_03"/>
    <x v="1"/>
    <n v="2023"/>
    <s v="Electronics"/>
    <x v="1"/>
    <n v="1293"/>
    <n v="50.21"/>
    <n v="47.55"/>
    <n v="155"/>
    <s v="No"/>
    <n v="0.70175438596491224"/>
    <n v="61482.15"/>
    <n v="3439.38"/>
    <n v="0.11987625676720805"/>
    <n v="0.39"/>
    <n v="5.297749452300346E-2"/>
  </r>
  <r>
    <s v="Vendor_02"/>
    <x v="3"/>
    <n v="2023"/>
    <s v="Packaging"/>
    <x v="1"/>
    <n v="207"/>
    <n v="64.290000000000006"/>
    <n v="63.01"/>
    <n v="25"/>
    <s v="Yes"/>
    <n v="0.70512820512820518"/>
    <n v="13043.07"/>
    <n v="264.95999999999998"/>
    <n v="0.12077294685990338"/>
    <n v="0.76"/>
    <n v="1.9909783792191757E-2"/>
  </r>
  <r>
    <s v="Vendor_02"/>
    <x v="3"/>
    <n v="2023"/>
    <s v="Office Supplies"/>
    <x v="1"/>
    <n v="526"/>
    <n v="26.37"/>
    <n v="25.32"/>
    <n v="47"/>
    <s v="Yes"/>
    <n v="0.70512820512820518"/>
    <n v="13318.32"/>
    <n v="552.29999999999995"/>
    <n v="8.9353612167300381E-2"/>
    <n v="0.76"/>
    <n v="3.9817974971558617E-2"/>
  </r>
  <r>
    <s v="Vendor_05"/>
    <x v="2"/>
    <n v="2022"/>
    <s v="Electronics"/>
    <x v="1"/>
    <n v="1119"/>
    <n v="27.03"/>
    <n v="23.82"/>
    <n v="55"/>
    <s v="Yes"/>
    <n v="0.72027972027972031"/>
    <n v="26654.58"/>
    <n v="3591.99"/>
    <n v="4.9151027703306524E-2"/>
    <n v="0.86"/>
    <n v="0.11875693673695896"/>
  </r>
  <r>
    <s v="Vendor_05"/>
    <x v="2"/>
    <n v="2022"/>
    <s v="Packaging"/>
    <x v="1"/>
    <n v="1446"/>
    <n v="90.63"/>
    <n v="84.51"/>
    <n v="77"/>
    <s v="Yes"/>
    <n v="0.72027972027972031"/>
    <n v="122201.46"/>
    <n v="8849.52"/>
    <n v="5.3250345781466112E-2"/>
    <n v="0.86"/>
    <n v="6.752730883813296E-2"/>
  </r>
  <r>
    <s v="Vendor_05"/>
    <x v="2"/>
    <n v="2022"/>
    <s v="Office Supplies"/>
    <x v="1"/>
    <n v="567"/>
    <n v="97.53"/>
    <n v="85.29"/>
    <n v="21"/>
    <s v="Yes"/>
    <n v="0.72027972027972031"/>
    <n v="48359.43"/>
    <n v="6940.08"/>
    <n v="3.7037037037037035E-2"/>
    <n v="0.86"/>
    <n v="0.12549984620116883"/>
  </r>
  <r>
    <s v="Vendor_03"/>
    <x v="1"/>
    <n v="2022"/>
    <s v="MRO"/>
    <x v="1"/>
    <n v="148"/>
    <n v="44.91"/>
    <n v="40.1"/>
    <n v="155"/>
    <s v="No"/>
    <n v="0.70175438596491224"/>
    <n v="5934.8"/>
    <n v="711.88"/>
    <n v="1.0472972972972974"/>
    <n v="0.39"/>
    <n v="0.10710309507904689"/>
  </r>
  <r>
    <s v="Vendor_02"/>
    <x v="3"/>
    <n v="2023"/>
    <s v="MRO"/>
    <x v="3"/>
    <n v="1965"/>
    <n v="36.6"/>
    <n v="34.64"/>
    <n v="195"/>
    <s v="Yes"/>
    <n v="0.12179487179487179"/>
    <n v="68067.600000000006"/>
    <n v="3851.4"/>
    <n v="9.9236641221374045E-2"/>
    <n v="0.76"/>
    <n v="5.3551912568306034E-2"/>
  </r>
  <r>
    <s v="Vendor_01"/>
    <x v="0"/>
    <n v="2022"/>
    <s v="Office Supplies"/>
    <x v="3"/>
    <n v="1818"/>
    <n v="67.959999999999994"/>
    <n v="58.98"/>
    <n v="24"/>
    <s v="Yes"/>
    <n v="7.8014184397163122E-2"/>
    <n v="107225.64"/>
    <n v="16325.64"/>
    <n v="1.3201320132013201E-2"/>
    <n v="0.94"/>
    <n v="0.13213655091230131"/>
  </r>
  <r>
    <s v="Vendor_02"/>
    <x v="3"/>
    <n v="2022"/>
    <s v="MRO"/>
    <x v="1"/>
    <n v="1110"/>
    <n v="48.19"/>
    <n v="45.88"/>
    <n v="112"/>
    <s v="Yes"/>
    <n v="0.70512820512820518"/>
    <n v="50926.8"/>
    <n v="2564.1"/>
    <n v="0.1009009009009009"/>
    <n v="0.76"/>
    <n v="4.7935256277235841E-2"/>
  </r>
  <r>
    <s v="Vendor_03"/>
    <x v="1"/>
    <n v="2022"/>
    <s v="Raw Materials"/>
    <x v="1"/>
    <n v="329"/>
    <n v="12.96"/>
    <n v="12.74"/>
    <n v="48"/>
    <s v="Yes"/>
    <n v="0.70175438596491224"/>
    <n v="4191.46"/>
    <n v="72.38"/>
    <n v="0.1458966565349544"/>
    <n v="0.61"/>
    <n v="1.6975308641975356E-2"/>
  </r>
  <r>
    <s v="Vendor_05"/>
    <x v="2"/>
    <n v="2023"/>
    <s v="Office Supplies"/>
    <x v="0"/>
    <n v="1422"/>
    <n v="25.62"/>
    <n v="25.18"/>
    <n v="65"/>
    <s v="Yes"/>
    <n v="4.195804195804196E-2"/>
    <n v="35805.96"/>
    <n v="625.67999999999995"/>
    <n v="4.5710267229254573E-2"/>
    <n v="0.86"/>
    <n v="1.717408274785329E-2"/>
  </r>
  <r>
    <s v="Vendor_03"/>
    <x v="1"/>
    <n v="2023"/>
    <s v="Raw Materials"/>
    <x v="1"/>
    <n v="546"/>
    <n v="82.63"/>
    <n v="74.77"/>
    <n v="76"/>
    <s v="No"/>
    <n v="0.70175438596491224"/>
    <n v="40824.42"/>
    <n v="4291.5600000000004"/>
    <n v="0.1391941391941392"/>
    <n v="0.39"/>
    <n v="9.5122836742103353E-2"/>
  </r>
  <r>
    <s v="Vendor_05"/>
    <x v="2"/>
    <n v="2022"/>
    <s v="Office Supplies"/>
    <x v="2"/>
    <n v="351"/>
    <n v="72.08"/>
    <n v="71.3"/>
    <n v="20"/>
    <s v="Yes"/>
    <n v="0.12587412587412589"/>
    <n v="25026.3"/>
    <n v="273.77999999999997"/>
    <n v="5.6980056980056981E-2"/>
    <n v="0.86"/>
    <n v="1.0821309655937862E-2"/>
  </r>
  <r>
    <s v="Vendor_03"/>
    <x v="1"/>
    <n v="2022"/>
    <s v="Raw Materials"/>
    <x v="2"/>
    <n v="230"/>
    <n v="13"/>
    <n v="12.81"/>
    <n v="155"/>
    <s v="No"/>
    <n v="0.10526315789473684"/>
    <n v="2946.3"/>
    <n v="43.7"/>
    <n v="0.67391304347826086"/>
    <n v="0.39"/>
    <n v="1.4615384615384577E-2"/>
  </r>
  <r>
    <s v="Vendor_01"/>
    <x v="0"/>
    <n v="2022"/>
    <s v="MRO"/>
    <x v="1"/>
    <n v="656"/>
    <n v="30.73"/>
    <n v="26.26"/>
    <n v="17"/>
    <s v="Yes"/>
    <n v="0.75886524822695034"/>
    <n v="17226.560000000001"/>
    <n v="2932.32"/>
    <n v="2.5914634146341462E-2"/>
    <n v="0.94"/>
    <n v="0.14546046208916363"/>
  </r>
  <r>
    <s v="Vendor_05"/>
    <x v="2"/>
    <n v="2023"/>
    <s v="MRO"/>
    <x v="1"/>
    <n v="1172"/>
    <n v="34.340000000000003"/>
    <n v="32.090000000000003"/>
    <n v="69"/>
    <s v="Yes"/>
    <n v="0.72027972027972031"/>
    <n v="37609.480000000003"/>
    <n v="2637"/>
    <n v="5.8873720136518773E-2"/>
    <n v="0.86"/>
    <n v="6.5521258008153754E-2"/>
  </r>
  <r>
    <s v="Vendor_05"/>
    <x v="2"/>
    <n v="2022"/>
    <s v="Electronics"/>
    <x v="1"/>
    <n v="749"/>
    <n v="71.53"/>
    <n v="70.02"/>
    <n v="41"/>
    <s v="Yes"/>
    <n v="0.72027972027972031"/>
    <n v="52444.98"/>
    <n v="1130.99"/>
    <n v="5.4739652870493989E-2"/>
    <n v="0.86"/>
    <n v="2.1110023766251994E-2"/>
  </r>
  <r>
    <s v="Vendor_02"/>
    <x v="3"/>
    <n v="2023"/>
    <s v="Packaging"/>
    <x v="1"/>
    <n v="1042"/>
    <n v="12.48"/>
    <n v="12.3"/>
    <n v="88"/>
    <s v="Yes"/>
    <n v="0.70512820512820518"/>
    <n v="12816.6"/>
    <n v="187.56"/>
    <n v="8.4452975047984644E-2"/>
    <n v="0.76"/>
    <n v="1.44230769230769E-2"/>
  </r>
  <r>
    <s v="Vendor_03"/>
    <x v="1"/>
    <n v="2022"/>
    <s v="Raw Materials"/>
    <x v="1"/>
    <n v="1189"/>
    <n v="19.47"/>
    <n v="17.149999999999999"/>
    <n v="155"/>
    <s v="No"/>
    <n v="0.70175438596491224"/>
    <n v="20391.349999999999"/>
    <n v="2758.48"/>
    <n v="0.13036164844407064"/>
    <n v="0.39"/>
    <n v="0.1191576784797124"/>
  </r>
  <r>
    <s v="Vendor_04"/>
    <x v="4"/>
    <n v="2023"/>
    <s v="Office Supplies"/>
    <x v="1"/>
    <n v="240"/>
    <n v="88.14"/>
    <n v="81.900000000000006"/>
    <n v="4"/>
    <s v="Yes"/>
    <n v="0.72289156626506024"/>
    <n v="19656"/>
    <n v="1497.6"/>
    <n v="1.6666666666666666E-2"/>
    <n v="0.98"/>
    <n v="7.0796460176991094E-2"/>
  </r>
  <r>
    <s v="Vendor_04"/>
    <x v="4"/>
    <n v="2022"/>
    <s v="MRO"/>
    <x v="1"/>
    <n v="302"/>
    <n v="26.98"/>
    <n v="26.47"/>
    <n v="9"/>
    <s v="Yes"/>
    <n v="0.72289156626506024"/>
    <n v="7993.94"/>
    <n v="154.02000000000001"/>
    <n v="2.9801324503311258E-2"/>
    <n v="0.98"/>
    <n v="1.890289103039294E-2"/>
  </r>
  <r>
    <s v="Vendor_02"/>
    <x v="3"/>
    <n v="2022"/>
    <s v="MRO"/>
    <x v="3"/>
    <n v="1030"/>
    <n v="70.81"/>
    <n v="61.58"/>
    <n v="105"/>
    <s v="No"/>
    <n v="0.12179487179487179"/>
    <n v="63427.4"/>
    <n v="9506.9"/>
    <n v="0.10194174757281553"/>
    <n v="0.24"/>
    <n v="0.13034882078802434"/>
  </r>
  <r>
    <s v="Vendor_03"/>
    <x v="1"/>
    <n v="2023"/>
    <s v="Office Supplies"/>
    <x v="1"/>
    <n v="977"/>
    <n v="33.79"/>
    <n v="32.25"/>
    <n v="137"/>
    <s v="Yes"/>
    <n v="0.70175438596491224"/>
    <n v="31508.25"/>
    <n v="1504.58"/>
    <n v="0.14022517911975435"/>
    <n v="0.61"/>
    <n v="4.5575614087007964E-2"/>
  </r>
  <r>
    <s v="Vendor_01"/>
    <x v="0"/>
    <n v="2022"/>
    <s v="Packaging"/>
    <x v="1"/>
    <n v="1234"/>
    <n v="19.989999999999998"/>
    <n v="17.66"/>
    <n v="25"/>
    <s v="Yes"/>
    <n v="0.75886524822695034"/>
    <n v="21792.44"/>
    <n v="2875.22"/>
    <n v="2.0259319286871962E-2"/>
    <n v="0.94"/>
    <n v="0.1165582791395697"/>
  </r>
  <r>
    <s v="Vendor_02"/>
    <x v="3"/>
    <n v="2022"/>
    <s v="Office Supplies"/>
    <x v="1"/>
    <n v="1329"/>
    <n v="33.479999999999997"/>
    <n v="33.06"/>
    <n v="146"/>
    <s v="Yes"/>
    <n v="0.70512820512820518"/>
    <n v="43936.74"/>
    <n v="558.17999999999995"/>
    <n v="0.10985703536493605"/>
    <n v="0.76"/>
    <n v="1.2544802867383352E-2"/>
  </r>
  <r>
    <s v="Vendor_05"/>
    <x v="2"/>
    <n v="2022"/>
    <s v="Raw Materials"/>
    <x v="1"/>
    <n v="1396"/>
    <n v="77.63"/>
    <n v="67.81"/>
    <n v="58"/>
    <s v="Yes"/>
    <n v="0.72027972027972031"/>
    <n v="94662.76"/>
    <n v="13708.72"/>
    <n v="4.1547277936962751E-2"/>
    <n v="0.86"/>
    <n v="0.12649748808450334"/>
  </r>
  <r>
    <s v="Vendor_01"/>
    <x v="0"/>
    <n v="2022"/>
    <s v="Raw Materials"/>
    <x v="1"/>
    <n v="177"/>
    <n v="90.06"/>
    <n v="87.71"/>
    <n v="7"/>
    <s v="Yes"/>
    <n v="0.75886524822695034"/>
    <n v="15524.67"/>
    <n v="415.95"/>
    <n v="3.954802259887006E-2"/>
    <n v="0.94"/>
    <n v="2.6093715300910598E-2"/>
  </r>
  <r>
    <s v="Vendor_03"/>
    <x v="1"/>
    <n v="2022"/>
    <s v="Electronics"/>
    <x v="1"/>
    <n v="67"/>
    <n v="84.72"/>
    <n v="73.06"/>
    <n v="9"/>
    <s v="Yes"/>
    <n v="0.70175438596491224"/>
    <n v="4895.0200000000004"/>
    <n v="781.22"/>
    <n v="0.13432835820895522"/>
    <n v="0.61"/>
    <n v="0.13762983947119919"/>
  </r>
  <r>
    <s v="Vendor_05"/>
    <x v="2"/>
    <n v="2023"/>
    <s v="Office Supplies"/>
    <x v="1"/>
    <n v="1866"/>
    <n v="50.78"/>
    <n v="48.2"/>
    <n v="96"/>
    <s v="Yes"/>
    <n v="0.72027972027972031"/>
    <n v="89941.2"/>
    <n v="4814.28"/>
    <n v="5.1446945337620578E-2"/>
    <n v="0.86"/>
    <n v="5.0807404489956638E-2"/>
  </r>
  <r>
    <s v="Vendor_04"/>
    <x v="4"/>
    <n v="2022"/>
    <s v="MRO"/>
    <x v="1"/>
    <n v="1808"/>
    <n v="72.23"/>
    <n v="67.86"/>
    <n v="53"/>
    <s v="Yes"/>
    <n v="0.72289156626506024"/>
    <n v="122690.88"/>
    <n v="7900.96"/>
    <n v="2.9314159292035399E-2"/>
    <n v="0.98"/>
    <n v="6.050117679634507E-2"/>
  </r>
  <r>
    <s v="Vendor_03"/>
    <x v="1"/>
    <n v="2023"/>
    <s v="Electronics"/>
    <x v="0"/>
    <n v="615"/>
    <n v="30.3"/>
    <n v="29.52"/>
    <n v="96"/>
    <s v="Yes"/>
    <n v="9.3567251461988299E-2"/>
    <n v="18154.8"/>
    <n v="479.7"/>
    <n v="0.15609756097560976"/>
    <n v="0.61"/>
    <n v="2.5742574257425779E-2"/>
  </r>
  <r>
    <s v="Vendor_05"/>
    <x v="2"/>
    <n v="2022"/>
    <s v="Office Supplies"/>
    <x v="3"/>
    <n v="619"/>
    <n v="38.380000000000003"/>
    <n v="35.020000000000003"/>
    <n v="34"/>
    <s v="Yes"/>
    <n v="0.11188811188811189"/>
    <n v="21677.38"/>
    <n v="2079.84"/>
    <n v="5.492730210016155E-2"/>
    <n v="0.86"/>
    <n v="8.7545596664929629E-2"/>
  </r>
  <r>
    <s v="Vendor_03"/>
    <x v="1"/>
    <n v="2022"/>
    <s v="Office Supplies"/>
    <x v="1"/>
    <n v="1396"/>
    <n v="94.75"/>
    <n v="84.06"/>
    <n v="210"/>
    <s v="Yes"/>
    <n v="0.70175438596491224"/>
    <n v="117347.76"/>
    <n v="14923.24"/>
    <n v="0.1504297994269341"/>
    <n v="0.61"/>
    <n v="0.11282321899736146"/>
  </r>
  <r>
    <s v="Vendor_05"/>
    <x v="2"/>
    <n v="2022"/>
    <s v="MRO"/>
    <x v="1"/>
    <n v="1945"/>
    <n v="11.28"/>
    <n v="9.98"/>
    <n v="94"/>
    <s v="Yes"/>
    <n v="0.72027972027972031"/>
    <n v="19411.099999999999"/>
    <n v="2528.5"/>
    <n v="4.8329048843187658E-2"/>
    <n v="0.86"/>
    <n v="0.11524822695035453"/>
  </r>
  <r>
    <s v="Vendor_03"/>
    <x v="1"/>
    <n v="2022"/>
    <s v="Packaging"/>
    <x v="1"/>
    <n v="735"/>
    <n v="18.489999999999998"/>
    <n v="15.89"/>
    <n v="113"/>
    <s v="No"/>
    <n v="0.70175438596491224"/>
    <n v="11679.15"/>
    <n v="1911"/>
    <n v="0.15374149659863945"/>
    <n v="0.39"/>
    <n v="0.14061654948620866"/>
  </r>
  <r>
    <s v="Vendor_04"/>
    <x v="4"/>
    <n v="2022"/>
    <s v="Office Supplies"/>
    <x v="3"/>
    <n v="1865"/>
    <n v="30.29"/>
    <n v="26.83"/>
    <n v="56"/>
    <s v="Yes"/>
    <n v="0.10843373493975904"/>
    <n v="50037.95"/>
    <n v="6452.9"/>
    <n v="3.0026809651474532E-2"/>
    <n v="0.98"/>
    <n v="0.11422911852096404"/>
  </r>
  <r>
    <s v="Vendor_02"/>
    <x v="3"/>
    <n v="2023"/>
    <s v="Electronics"/>
    <x v="0"/>
    <n v="675"/>
    <n v="13.69"/>
    <n v="11.84"/>
    <n v="52"/>
    <s v="Yes"/>
    <n v="8.9743589743589744E-2"/>
    <n v="7992"/>
    <n v="1248.75"/>
    <n v="7.7037037037037043E-2"/>
    <n v="0.76"/>
    <n v="0.13513513513513511"/>
  </r>
  <r>
    <s v="Vendor_05"/>
    <x v="2"/>
    <n v="2023"/>
    <s v="MRO"/>
    <x v="3"/>
    <n v="1361"/>
    <n v="28.57"/>
    <n v="24.29"/>
    <n v="65"/>
    <s v="Yes"/>
    <n v="0.11188811188811189"/>
    <n v="33058.69"/>
    <n v="5825.08"/>
    <n v="4.7759000734753858E-2"/>
    <n v="0.86"/>
    <n v="0.14980749037451876"/>
  </r>
  <r>
    <s v="Vendor_05"/>
    <x v="2"/>
    <n v="2023"/>
    <s v="Raw Materials"/>
    <x v="1"/>
    <n v="903"/>
    <n v="66.53"/>
    <n v="60.15"/>
    <n v="29"/>
    <s v="Yes"/>
    <n v="0.72027972027972031"/>
    <n v="54315.45"/>
    <n v="5761.14"/>
    <n v="3.2115171650055369E-2"/>
    <n v="0.86"/>
    <n v="9.5896588005411135E-2"/>
  </r>
  <r>
    <s v="Vendor_04"/>
    <x v="4"/>
    <n v="2023"/>
    <s v="Packaging"/>
    <x v="0"/>
    <n v="1736"/>
    <n v="53.2"/>
    <n v="50.68"/>
    <n v="48"/>
    <s v="Yes"/>
    <n v="8.4337349397590355E-2"/>
    <n v="87980.479999999996"/>
    <n v="4374.72"/>
    <n v="2.7649769585253458E-2"/>
    <n v="0.98"/>
    <n v="4.7368421052631636E-2"/>
  </r>
  <r>
    <s v="Vendor_02"/>
    <x v="3"/>
    <n v="2023"/>
    <s v="MRO"/>
    <x v="1"/>
    <n v="1011"/>
    <n v="98.47"/>
    <n v="97.06"/>
    <n v="91"/>
    <s v="Yes"/>
    <n v="0.70512820512820518"/>
    <n v="98127.66"/>
    <n v="1425.51"/>
    <n v="9.0009891196834821E-2"/>
    <n v="0.76"/>
    <n v="1.4319081953894553E-2"/>
  </r>
  <r>
    <s v="Vendor_03"/>
    <x v="1"/>
    <n v="2022"/>
    <s v="Electronics"/>
    <x v="1"/>
    <n v="1712"/>
    <n v="88.17"/>
    <n v="85.86"/>
    <n v="246"/>
    <s v="Yes"/>
    <n v="0.70175438596491224"/>
    <n v="146992.32000000001"/>
    <n v="3954.72"/>
    <n v="0.14369158878504673"/>
    <n v="0.61"/>
    <n v="2.6199387546784646E-2"/>
  </r>
  <r>
    <s v="Vendor_05"/>
    <x v="2"/>
    <n v="2022"/>
    <s v="Office Supplies"/>
    <x v="1"/>
    <n v="204"/>
    <n v="40.76"/>
    <n v="37.46"/>
    <n v="10"/>
    <s v="Yes"/>
    <n v="0.72027972027972031"/>
    <n v="7641.84"/>
    <n v="673.2"/>
    <n v="4.9019607843137254E-2"/>
    <n v="0.86"/>
    <n v="8.0961727183513188E-2"/>
  </r>
  <r>
    <s v="Vendor_02"/>
    <x v="3"/>
    <n v="2022"/>
    <s v="Electronics"/>
    <x v="2"/>
    <n v="539"/>
    <n v="33.85"/>
    <n v="30.57"/>
    <n v="34"/>
    <s v="No"/>
    <n v="8.3333333333333329E-2"/>
    <n v="16477.23"/>
    <n v="1767.92"/>
    <n v="6.3079777365491654E-2"/>
    <n v="0.24"/>
    <n v="9.6898079763663256E-2"/>
  </r>
  <r>
    <s v="Vendor_03"/>
    <x v="1"/>
    <n v="2022"/>
    <s v="Office Supplies"/>
    <x v="1"/>
    <n v="1459"/>
    <n v="45.94"/>
    <n v="42.56"/>
    <n v="212"/>
    <s v="No"/>
    <n v="0.70175438596491224"/>
    <n v="62095.040000000001"/>
    <n v="4931.42"/>
    <n v="0.14530500342700481"/>
    <n v="0.39"/>
    <n v="7.3574227252938523E-2"/>
  </r>
  <r>
    <s v="Vendor_05"/>
    <x v="2"/>
    <n v="2022"/>
    <s v="MRO"/>
    <x v="1"/>
    <n v="834"/>
    <n v="65.02"/>
    <n v="56.19"/>
    <n v="55"/>
    <s v="Yes"/>
    <n v="0.72027972027972031"/>
    <n v="46862.46"/>
    <n v="7364.22"/>
    <n v="6.5947242206235018E-2"/>
    <n v="0.86"/>
    <n v="0.13580436788680406"/>
  </r>
  <r>
    <s v="Vendor_05"/>
    <x v="2"/>
    <n v="2023"/>
    <s v="Packaging"/>
    <x v="2"/>
    <n v="1177"/>
    <n v="37.369999999999997"/>
    <n v="34.270000000000003"/>
    <n v="60"/>
    <s v="Yes"/>
    <n v="0.12587412587412589"/>
    <n v="40335.79"/>
    <n v="3648.7"/>
    <n v="5.0977060322854713E-2"/>
    <n v="0.86"/>
    <n v="8.295424137008281E-2"/>
  </r>
  <r>
    <s v="Vendor_03"/>
    <x v="1"/>
    <n v="2022"/>
    <s v="MRO"/>
    <x v="1"/>
    <n v="1466"/>
    <n v="68.819999999999993"/>
    <n v="66.819999999999993"/>
    <n v="211"/>
    <s v="Yes"/>
    <n v="0.70175438596491224"/>
    <n v="97958.12"/>
    <n v="2932"/>
    <n v="0.14392905866302866"/>
    <n v="0.61"/>
    <n v="2.9061319383900032E-2"/>
  </r>
  <r>
    <s v="Vendor_04"/>
    <x v="4"/>
    <n v="2022"/>
    <s v="Electronics"/>
    <x v="1"/>
    <n v="1884"/>
    <n v="47.08"/>
    <n v="44.31"/>
    <n v="54"/>
    <s v="Yes"/>
    <n v="0.72289156626506024"/>
    <n v="83480.039999999994"/>
    <n v="5218.68"/>
    <n v="2.8662420382165606E-2"/>
    <n v="0.98"/>
    <n v="5.8836023789294735E-2"/>
  </r>
  <r>
    <s v="Vendor_02"/>
    <x v="3"/>
    <n v="2022"/>
    <s v="Electronics"/>
    <x v="1"/>
    <n v="295"/>
    <n v="60.58"/>
    <n v="57.32"/>
    <n v="31"/>
    <s v="Yes"/>
    <n v="0.70512820512820518"/>
    <n v="16909.400000000001"/>
    <n v="961.7"/>
    <n v="0.10508474576271186"/>
    <n v="0.76"/>
    <n v="5.3813139650049489E-2"/>
  </r>
  <r>
    <s v="Vendor_05"/>
    <x v="2"/>
    <n v="2023"/>
    <s v="Raw Materials"/>
    <x v="1"/>
    <n v="1249"/>
    <n v="54.18"/>
    <n v="47.29"/>
    <n v="59"/>
    <s v="Yes"/>
    <n v="0.72027972027972031"/>
    <n v="59065.21"/>
    <n v="8605.61"/>
    <n v="4.7237790232185752E-2"/>
    <n v="0.86"/>
    <n v="0.1271686969361388"/>
  </r>
  <r>
    <s v="Vendor_03"/>
    <x v="1"/>
    <n v="2023"/>
    <s v="Raw Materials"/>
    <x v="1"/>
    <n v="1112"/>
    <n v="39.06"/>
    <n v="33.6"/>
    <n v="184"/>
    <s v="No"/>
    <n v="0.70175438596491224"/>
    <n v="37363.199999999997"/>
    <n v="6071.52"/>
    <n v="0.16546762589928057"/>
    <n v="0.39"/>
    <n v="0.13978494623655915"/>
  </r>
  <r>
    <s v="Vendor_05"/>
    <x v="2"/>
    <n v="2022"/>
    <s v="Office Supplies"/>
    <x v="1"/>
    <n v="1550"/>
    <n v="100.61"/>
    <n v="97.43"/>
    <n v="66"/>
    <s v="Yes"/>
    <n v="0.72027972027972031"/>
    <n v="151016.5"/>
    <n v="4929"/>
    <n v="4.2580645161290322E-2"/>
    <n v="0.86"/>
    <n v="3.160719610376695E-2"/>
  </r>
  <r>
    <s v="Vendor_03"/>
    <x v="1"/>
    <n v="2022"/>
    <s v="Electronics"/>
    <x v="1"/>
    <n v="1755"/>
    <n v="82.66"/>
    <n v="73.67"/>
    <n v="258"/>
    <s v="No"/>
    <n v="0.70175438596491224"/>
    <n v="129290.85"/>
    <n v="15777.45"/>
    <n v="0.14700854700854701"/>
    <n v="0.39"/>
    <n v="0.10875877086861838"/>
  </r>
  <r>
    <s v="Vendor_05"/>
    <x v="2"/>
    <n v="2023"/>
    <s v="Raw Materials"/>
    <x v="1"/>
    <n v="808"/>
    <n v="24.19"/>
    <n v="21.64"/>
    <n v="39"/>
    <s v="Yes"/>
    <n v="0.72027972027972031"/>
    <n v="17485.12"/>
    <n v="2060.4"/>
    <n v="4.8267326732673269E-2"/>
    <n v="0.86"/>
    <n v="0.10541546093427039"/>
  </r>
  <r>
    <s v="Vendor_01"/>
    <x v="0"/>
    <n v="2023"/>
    <s v="Raw Materials"/>
    <x v="2"/>
    <n v="587"/>
    <n v="96.98"/>
    <n v="95.35"/>
    <n v="14"/>
    <s v="Yes"/>
    <n v="7.0921985815602842E-2"/>
    <n v="55970.45"/>
    <n v="956.81"/>
    <n v="2.385008517887564E-2"/>
    <n v="0.94"/>
    <n v="1.6807589193648272E-2"/>
  </r>
  <r>
    <s v="Vendor_04"/>
    <x v="4"/>
    <n v="2023"/>
    <s v="MRO"/>
    <x v="1"/>
    <n v="1940"/>
    <n v="58.45"/>
    <n v="50.29"/>
    <n v="54"/>
    <s v="Yes"/>
    <n v="0.72289156626506024"/>
    <n v="97562.6"/>
    <n v="15830.4"/>
    <n v="2.7835051546391754E-2"/>
    <n v="0.98"/>
    <n v="0.13960650128314805"/>
  </r>
  <r>
    <s v="Vendor_02"/>
    <x v="3"/>
    <n v="2022"/>
    <s v="Office Supplies"/>
    <x v="0"/>
    <n v="1891"/>
    <n v="91.87"/>
    <n v="80.28"/>
    <n v="158"/>
    <s v="Yes"/>
    <n v="8.9743589743589744E-2"/>
    <n v="151809.48000000001"/>
    <n v="21916.69"/>
    <n v="8.3553675304071914E-2"/>
    <n v="0.76"/>
    <n v="0.12615652552519868"/>
  </r>
  <r>
    <s v="Vendor_04"/>
    <x v="4"/>
    <n v="2023"/>
    <s v="Packaging"/>
    <x v="1"/>
    <n v="970"/>
    <n v="86.91"/>
    <n v="78.44"/>
    <n v="18"/>
    <s v="Yes"/>
    <n v="0.72289156626506024"/>
    <n v="76086.8"/>
    <n v="8215.9"/>
    <n v="1.8556701030927835E-2"/>
    <n v="0.98"/>
    <n v="9.7457139569669768E-2"/>
  </r>
  <r>
    <s v="Vendor_04"/>
    <x v="4"/>
    <n v="2023"/>
    <s v="MRO"/>
    <x v="1"/>
    <n v="457"/>
    <n v="52.85"/>
    <n v="50.34"/>
    <n v="16"/>
    <s v="Yes"/>
    <n v="0.72289156626506024"/>
    <n v="23005.38"/>
    <n v="1147.07"/>
    <n v="3.5010940919037198E-2"/>
    <n v="0.98"/>
    <n v="4.7492904446546795E-2"/>
  </r>
  <r>
    <s v="Vendor_02"/>
    <x v="3"/>
    <n v="2022"/>
    <s v="Office Supplies"/>
    <x v="0"/>
    <n v="574"/>
    <n v="12.38"/>
    <n v="11.47"/>
    <n v="105"/>
    <s v="No"/>
    <n v="8.9743589743589744E-2"/>
    <n v="6583.78"/>
    <n v="522.34"/>
    <n v="0.18292682926829268"/>
    <n v="0.24"/>
    <n v="7.3505654281098551E-2"/>
  </r>
  <r>
    <s v="Vendor_04"/>
    <x v="4"/>
    <n v="2022"/>
    <s v="Office Supplies"/>
    <x v="1"/>
    <n v="877"/>
    <n v="35.549999999999997"/>
    <n v="34.69"/>
    <n v="24"/>
    <s v="Yes"/>
    <n v="0.72289156626506024"/>
    <n v="30423.13"/>
    <n v="754.22"/>
    <n v="2.7366020524515394E-2"/>
    <n v="0.98"/>
    <n v="2.4191279887482407E-2"/>
  </r>
  <r>
    <s v="Vendor_01"/>
    <x v="0"/>
    <n v="2022"/>
    <s v="MRO"/>
    <x v="1"/>
    <n v="1579"/>
    <n v="59.04"/>
    <n v="50.95"/>
    <n v="29"/>
    <s v="Yes"/>
    <n v="0.75886524822695034"/>
    <n v="80450.05"/>
    <n v="12774.11"/>
    <n v="1.8366054464851171E-2"/>
    <n v="0.94"/>
    <n v="0.13702574525745251"/>
  </r>
  <r>
    <s v="Vendor_03"/>
    <x v="1"/>
    <n v="2023"/>
    <s v="Raw Materials"/>
    <x v="1"/>
    <n v="952"/>
    <n v="74.72"/>
    <n v="69.73"/>
    <n v="155"/>
    <s v="Yes"/>
    <n v="0.70175438596491224"/>
    <n v="66382.960000000006"/>
    <n v="4750.4799999999996"/>
    <n v="0.16281512605042017"/>
    <n v="0.61"/>
    <n v="6.6782655246252612E-2"/>
  </r>
  <r>
    <s v="Vendor_02"/>
    <x v="3"/>
    <n v="2023"/>
    <s v="Raw Materials"/>
    <x v="3"/>
    <n v="1898"/>
    <n v="35.53"/>
    <n v="33.25"/>
    <n v="187"/>
    <s v="Yes"/>
    <n v="0.12179487179487179"/>
    <n v="63108.5"/>
    <n v="4327.4399999999996"/>
    <n v="9.8524762908324556E-2"/>
    <n v="0.76"/>
    <n v="6.4171122994652441E-2"/>
  </r>
  <r>
    <s v="Vendor_03"/>
    <x v="1"/>
    <n v="2022"/>
    <s v="Packaging"/>
    <x v="1"/>
    <n v="85"/>
    <n v="22.54"/>
    <n v="20.68"/>
    <n v="6"/>
    <s v="Yes"/>
    <n v="0.70175438596491224"/>
    <n v="1757.8"/>
    <n v="158.1"/>
    <n v="7.0588235294117646E-2"/>
    <n v="0.61"/>
    <n v="8.2519964507542121E-2"/>
  </r>
  <r>
    <s v="Vendor_05"/>
    <x v="2"/>
    <n v="2023"/>
    <s v="Packaging"/>
    <x v="3"/>
    <n v="734"/>
    <n v="92.38"/>
    <n v="78.92"/>
    <n v="34"/>
    <s v="No"/>
    <n v="0.11188811188811189"/>
    <n v="57927.28"/>
    <n v="9879.64"/>
    <n v="4.632152588555858E-2"/>
    <n v="0.14000000000000001"/>
    <n v="0.14570253301580421"/>
  </r>
  <r>
    <s v="Vendor_01"/>
    <x v="0"/>
    <n v="2023"/>
    <s v="Office Supplies"/>
    <x v="1"/>
    <n v="69"/>
    <n v="107.47"/>
    <n v="105.53"/>
    <n v="24"/>
    <s v="Yes"/>
    <n v="0.75886524822695034"/>
    <n v="7281.57"/>
    <n v="133.86000000000001"/>
    <n v="0.34782608695652173"/>
    <n v="0.94"/>
    <n v="1.805154926956358E-2"/>
  </r>
  <r>
    <s v="Vendor_03"/>
    <x v="1"/>
    <n v="2023"/>
    <s v="Packaging"/>
    <x v="1"/>
    <n v="370"/>
    <n v="63.9"/>
    <n v="55.79"/>
    <n v="59"/>
    <s v="Yes"/>
    <n v="0.70175438596491224"/>
    <n v="20642.3"/>
    <n v="3000.7"/>
    <n v="0.15945945945945947"/>
    <n v="0.61"/>
    <n v="0.12691705790297339"/>
  </r>
  <r>
    <s v="Vendor_03"/>
    <x v="1"/>
    <n v="2023"/>
    <s v="MRO"/>
    <x v="1"/>
    <n v="1849"/>
    <n v="28.25"/>
    <n v="27.53"/>
    <n v="271"/>
    <s v="Yes"/>
    <n v="0.70175438596491224"/>
    <n v="50902.97"/>
    <n v="1331.28"/>
    <n v="0.14656571119524067"/>
    <n v="0.61"/>
    <n v="2.5486725663716774E-2"/>
  </r>
  <r>
    <s v="Vendor_02"/>
    <x v="3"/>
    <n v="2022"/>
    <s v="Packaging"/>
    <x v="1"/>
    <n v="561"/>
    <n v="35.54"/>
    <n v="30.99"/>
    <n v="68"/>
    <s v="No"/>
    <n v="0.70512820512820518"/>
    <n v="17385.39"/>
    <n v="2552.5500000000002"/>
    <n v="0.12121212121212122"/>
    <n v="0.24"/>
    <n v="0.1280247608328644"/>
  </r>
  <r>
    <s v="Vendor_05"/>
    <x v="2"/>
    <n v="2023"/>
    <s v="Electronics"/>
    <x v="1"/>
    <n v="449"/>
    <n v="12.35"/>
    <n v="10.67"/>
    <n v="29"/>
    <s v="Yes"/>
    <n v="0.72027972027972031"/>
    <n v="4790.83"/>
    <n v="754.32"/>
    <n v="6.4587973273942098E-2"/>
    <n v="0.86"/>
    <n v="0.13603238866396758"/>
  </r>
  <r>
    <s v="Vendor_02"/>
    <x v="3"/>
    <n v="2023"/>
    <s v="Office Supplies"/>
    <x v="1"/>
    <n v="703"/>
    <n v="98.75"/>
    <n v="86.78"/>
    <n v="59"/>
    <s v="Yes"/>
    <n v="0.70512820512820518"/>
    <n v="61006.34"/>
    <n v="8414.91"/>
    <n v="8.392603129445235E-2"/>
    <n v="0.76"/>
    <n v="0.12121518987341771"/>
  </r>
  <r>
    <s v="Vendor_05"/>
    <x v="2"/>
    <n v="2022"/>
    <s v="Electronics"/>
    <x v="1"/>
    <n v="1021"/>
    <n v="20.8"/>
    <n v="18.23"/>
    <n v="37"/>
    <s v="Yes"/>
    <n v="0.72027972027972031"/>
    <n v="18612.830000000002"/>
    <n v="2623.97"/>
    <n v="3.6238981390793339E-2"/>
    <n v="0.86"/>
    <n v="0.12355769230769231"/>
  </r>
  <r>
    <s v="Vendor_02"/>
    <x v="3"/>
    <n v="2023"/>
    <s v="Office Supplies"/>
    <x v="1"/>
    <n v="1956"/>
    <n v="68.69"/>
    <n v="65.09"/>
    <n v="105"/>
    <s v="Yes"/>
    <n v="0.70512820512820518"/>
    <n v="127316.04"/>
    <n v="7041.6"/>
    <n v="5.3680981595092027E-2"/>
    <n v="0.76"/>
    <n v="5.2409375454942411E-2"/>
  </r>
  <r>
    <s v="Vendor_03"/>
    <x v="1"/>
    <n v="2022"/>
    <s v="Office Supplies"/>
    <x v="2"/>
    <n v="520"/>
    <n v="36.57"/>
    <n v="34.78"/>
    <n v="67"/>
    <s v="No"/>
    <n v="0.10526315789473684"/>
    <n v="18085.599999999999"/>
    <n v="930.8"/>
    <n v="0.12884615384615383"/>
    <n v="0.39"/>
    <n v="4.8947224500957044E-2"/>
  </r>
  <r>
    <s v="Vendor_03"/>
    <x v="1"/>
    <n v="2023"/>
    <s v="MRO"/>
    <x v="1"/>
    <n v="1216"/>
    <n v="66.16"/>
    <n v="63"/>
    <n v="179"/>
    <s v="No"/>
    <n v="0.70175438596491224"/>
    <n v="76608"/>
    <n v="3842.56"/>
    <n v="0.14720394736842105"/>
    <n v="0.39"/>
    <n v="4.7762998790810106E-2"/>
  </r>
  <r>
    <s v="Vendor_01"/>
    <x v="0"/>
    <n v="2022"/>
    <s v="Raw Materials"/>
    <x v="1"/>
    <n v="1165"/>
    <n v="72.06"/>
    <n v="63.93"/>
    <n v="24"/>
    <s v="Yes"/>
    <n v="0.75886524822695034"/>
    <n v="74478.45"/>
    <n v="9471.4500000000007"/>
    <n v="2.0600858369098713E-2"/>
    <n v="0.94"/>
    <n v="0.11282264779350544"/>
  </r>
  <r>
    <s v="Vendor_03"/>
    <x v="1"/>
    <n v="2023"/>
    <s v="Packaging"/>
    <x v="3"/>
    <n v="1427"/>
    <n v="93.99"/>
    <n v="83.6"/>
    <n v="213"/>
    <s v="Yes"/>
    <n v="9.9415204678362568E-2"/>
    <n v="119297.2"/>
    <n v="14826.53"/>
    <n v="0.14926419060967064"/>
    <n v="0.61"/>
    <n v="0.11054367485902757"/>
  </r>
  <r>
    <s v="Vendor_04"/>
    <x v="4"/>
    <n v="2022"/>
    <s v="Electronics"/>
    <x v="1"/>
    <n v="883"/>
    <n v="29.15"/>
    <n v="25.75"/>
    <n v="14"/>
    <s v="Yes"/>
    <n v="0.72289156626506024"/>
    <n v="22737.25"/>
    <n v="3002.2"/>
    <n v="1.5855039637599093E-2"/>
    <n v="0.98"/>
    <n v="0.1166380789022298"/>
  </r>
  <r>
    <s v="Vendor_03"/>
    <x v="1"/>
    <n v="2022"/>
    <s v="Packaging"/>
    <x v="2"/>
    <n v="1873"/>
    <n v="11.54"/>
    <n v="9.89"/>
    <n v="284"/>
    <s v="No"/>
    <n v="0.10526315789473684"/>
    <n v="18523.97"/>
    <n v="3090.45"/>
    <n v="0.15162840363053925"/>
    <n v="0.39"/>
    <n v="0.14298093587521651"/>
  </r>
  <r>
    <s v="Vendor_04"/>
    <x v="4"/>
    <n v="2023"/>
    <s v="Office Supplies"/>
    <x v="1"/>
    <n v="776"/>
    <n v="24.22"/>
    <n v="22.53"/>
    <n v="27"/>
    <s v="Yes"/>
    <n v="0.72289156626506024"/>
    <n v="17483.28"/>
    <n v="1311.44"/>
    <n v="3.4793814432989692E-2"/>
    <n v="0.98"/>
    <n v="6.9777043765482979E-2"/>
  </r>
  <r>
    <s v="Vendor_03"/>
    <x v="1"/>
    <n v="2022"/>
    <s v="Electronics"/>
    <x v="1"/>
    <n v="903"/>
    <n v="95.55"/>
    <n v="92.45"/>
    <n v="149"/>
    <s v="No"/>
    <n v="0.70175438596491224"/>
    <n v="83482.350000000006"/>
    <n v="2799.3"/>
    <n v="0.16500553709856036"/>
    <n v="0.39"/>
    <n v="3.2443746729460959E-2"/>
  </r>
  <r>
    <s v="Vendor_04"/>
    <x v="4"/>
    <n v="2023"/>
    <s v="Electronics"/>
    <x v="1"/>
    <n v="100"/>
    <n v="98.4"/>
    <n v="85.76"/>
    <n v="3"/>
    <s v="Yes"/>
    <n v="0.72289156626506024"/>
    <n v="8576"/>
    <n v="1264"/>
    <n v="0.03"/>
    <n v="0.98"/>
    <n v="0.12845528455284552"/>
  </r>
  <r>
    <s v="Vendor_04"/>
    <x v="4"/>
    <n v="2023"/>
    <s v="Office Supplies"/>
    <x v="1"/>
    <n v="1738"/>
    <n v="67.91"/>
    <n v="61.15"/>
    <n v="33"/>
    <s v="Yes"/>
    <n v="0.72289156626506024"/>
    <n v="106278.7"/>
    <n v="11748.88"/>
    <n v="1.8987341772151899E-2"/>
    <n v="0.98"/>
    <n v="9.9543513473715192E-2"/>
  </r>
  <r>
    <s v="Vendor_03"/>
    <x v="1"/>
    <n v="2022"/>
    <s v="Packaging"/>
    <x v="1"/>
    <n v="1771"/>
    <n v="67.569999999999993"/>
    <n v="61.48"/>
    <n v="280"/>
    <s v="No"/>
    <n v="0.70175438596491224"/>
    <n v="108881.08"/>
    <n v="10785.39"/>
    <n v="0.15810276679841898"/>
    <n v="0.39"/>
    <n v="9.0128755364806815E-2"/>
  </r>
  <r>
    <s v="Vendor_04"/>
    <x v="4"/>
    <n v="2023"/>
    <s v="Electronics"/>
    <x v="1"/>
    <n v="624"/>
    <n v="74.39"/>
    <n v="66.3"/>
    <n v="18"/>
    <s v="No"/>
    <n v="0.72289156626506024"/>
    <n v="41371.199999999997"/>
    <n v="5048.16"/>
    <n v="2.8846153846153848E-2"/>
    <n v="0.02"/>
    <n v="0.10875117623336475"/>
  </r>
  <r>
    <s v="Vendor_01"/>
    <x v="0"/>
    <n v="2023"/>
    <s v="Packaging"/>
    <x v="2"/>
    <n v="1263"/>
    <n v="28.75"/>
    <n v="27.1"/>
    <n v="26"/>
    <s v="Yes"/>
    <n v="7.0921985815602842E-2"/>
    <n v="34227.300000000003"/>
    <n v="2083.9499999999998"/>
    <n v="2.0585906571654791E-2"/>
    <n v="0.94"/>
    <n v="5.7391304347826036E-2"/>
  </r>
  <r>
    <s v="Vendor_05"/>
    <x v="2"/>
    <n v="2022"/>
    <s v="Electronics"/>
    <x v="0"/>
    <n v="1198"/>
    <n v="96.45"/>
    <n v="90.09"/>
    <n v="55"/>
    <s v="Yes"/>
    <n v="4.195804195804196E-2"/>
    <n v="107927.82"/>
    <n v="7619.28"/>
    <n v="4.5909849749582635E-2"/>
    <n v="0.86"/>
    <n v="6.5940902021772926E-2"/>
  </r>
  <r>
    <s v="Vendor_04"/>
    <x v="4"/>
    <n v="2023"/>
    <s v="Raw Materials"/>
    <x v="1"/>
    <n v="199"/>
    <n v="51.98"/>
    <n v="45.64"/>
    <n v="33"/>
    <s v="No"/>
    <n v="0.72289156626506024"/>
    <n v="9082.36"/>
    <n v="1261.6600000000001"/>
    <n v="0.16582914572864321"/>
    <n v="0.02"/>
    <n v="0.12196998845709882"/>
  </r>
  <r>
    <s v="Vendor_04"/>
    <x v="4"/>
    <n v="2022"/>
    <s v="MRO"/>
    <x v="3"/>
    <n v="363"/>
    <n v="45.37"/>
    <n v="38.729999999999997"/>
    <n v="33"/>
    <s v="Yes"/>
    <n v="0.10843373493975904"/>
    <n v="14058.99"/>
    <n v="2410.3200000000002"/>
    <n v="9.0909090909090912E-2"/>
    <n v="0.98"/>
    <n v="0.14635221512012345"/>
  </r>
  <r>
    <s v="Vendor_01"/>
    <x v="0"/>
    <n v="2022"/>
    <s v="Office Supplies"/>
    <x v="1"/>
    <n v="619"/>
    <n v="58.4"/>
    <n v="51.04"/>
    <n v="24"/>
    <s v="Yes"/>
    <n v="0.75886524822695034"/>
    <n v="31593.759999999998"/>
    <n v="4555.84"/>
    <n v="3.8772213247172858E-2"/>
    <n v="0.94"/>
    <n v="0.12602739726027395"/>
  </r>
  <r>
    <s v="Vendor_01"/>
    <x v="0"/>
    <n v="2023"/>
    <s v="MRO"/>
    <x v="1"/>
    <n v="1415"/>
    <n v="15.22"/>
    <n v="13.56"/>
    <n v="30"/>
    <s v="Yes"/>
    <n v="0.75886524822695034"/>
    <n v="19187.400000000001"/>
    <n v="2348.9"/>
    <n v="2.1201413427561839E-2"/>
    <n v="0.94"/>
    <n v="0.10906701708278581"/>
  </r>
  <r>
    <s v="Vendor_02"/>
    <x v="3"/>
    <n v="2023"/>
    <s v="Packaging"/>
    <x v="1"/>
    <n v="354"/>
    <n v="27.71"/>
    <n v="23.87"/>
    <n v="39"/>
    <s v="No"/>
    <n v="0.70512820512820518"/>
    <n v="8449.98"/>
    <n v="1359.36"/>
    <n v="0.11016949152542373"/>
    <n v="0.24"/>
    <n v="0.13857813063875857"/>
  </r>
  <r>
    <s v="Vendor_05"/>
    <x v="2"/>
    <n v="2023"/>
    <s v="MRO"/>
    <x v="1"/>
    <n v="1765"/>
    <n v="81.010000000000005"/>
    <n v="78.430000000000007"/>
    <n v="78"/>
    <s v="Yes"/>
    <n v="0.72027972027972031"/>
    <n v="138428.95000000001"/>
    <n v="4553.7"/>
    <n v="4.4192634560906517E-2"/>
    <n v="0.86"/>
    <n v="3.1847920009875304E-2"/>
  </r>
  <r>
    <s v="Vendor_02"/>
    <x v="3"/>
    <n v="2023"/>
    <s v="MRO"/>
    <x v="1"/>
    <n v="731"/>
    <n v="19.37"/>
    <n v="17.3"/>
    <n v="69"/>
    <s v="No"/>
    <n v="0.70512820512820518"/>
    <n v="12646.3"/>
    <n v="1513.17"/>
    <n v="9.4391244870041038E-2"/>
    <n v="0.24"/>
    <n v="0.10686628807434177"/>
  </r>
  <r>
    <s v="Vendor_04"/>
    <x v="4"/>
    <n v="2022"/>
    <s v="MRO"/>
    <x v="1"/>
    <n v="887"/>
    <n v="65.89"/>
    <n v="59.67"/>
    <n v="29"/>
    <s v="Yes"/>
    <n v="0.72289156626506024"/>
    <n v="52927.29"/>
    <n v="5517.14"/>
    <n v="3.269447576099211E-2"/>
    <n v="0.98"/>
    <n v="9.4399757171042625E-2"/>
  </r>
  <r>
    <s v="Vendor_01"/>
    <x v="0"/>
    <n v="2023"/>
    <s v="MRO"/>
    <x v="1"/>
    <n v="1856"/>
    <n v="35.29"/>
    <n v="32.409999999999997"/>
    <n v="26"/>
    <s v="Yes"/>
    <n v="0.75886524822695034"/>
    <n v="60152.959999999999"/>
    <n v="5345.28"/>
    <n v="1.4008620689655173E-2"/>
    <n v="0.94"/>
    <n v="8.1609521110796335E-2"/>
  </r>
  <r>
    <s v="Vendor_04"/>
    <x v="4"/>
    <n v="2023"/>
    <s v="Office Supplies"/>
    <x v="1"/>
    <n v="1127"/>
    <n v="49.32"/>
    <n v="46.49"/>
    <n v="30"/>
    <s v="Yes"/>
    <n v="0.72289156626506024"/>
    <n v="52394.23"/>
    <n v="3189.41"/>
    <n v="2.6619343389529725E-2"/>
    <n v="0.98"/>
    <n v="5.7380373073803698E-2"/>
  </r>
  <r>
    <s v="Vendor_03"/>
    <x v="1"/>
    <n v="2022"/>
    <s v="Raw Materials"/>
    <x v="1"/>
    <n v="1052"/>
    <n v="37.78"/>
    <n v="32.6"/>
    <n v="162"/>
    <s v="Yes"/>
    <n v="0.70175438596491224"/>
    <n v="34295.199999999997"/>
    <n v="5449.36"/>
    <n v="0.15399239543726237"/>
    <n v="0.61"/>
    <n v="0.13710958178930649"/>
  </r>
  <r>
    <s v="Vendor_05"/>
    <x v="2"/>
    <n v="2023"/>
    <s v="Raw Materials"/>
    <x v="1"/>
    <n v="493"/>
    <n v="44.74"/>
    <n v="41.44"/>
    <n v="24"/>
    <s v="No"/>
    <n v="0.72027972027972031"/>
    <n v="20429.919999999998"/>
    <n v="1626.9"/>
    <n v="4.8681541582150101E-2"/>
    <n v="0.14000000000000001"/>
    <n v="7.3759499329459188E-2"/>
  </r>
  <r>
    <s v="Vendor_03"/>
    <x v="1"/>
    <n v="2023"/>
    <s v="MRO"/>
    <x v="2"/>
    <n v="662"/>
    <n v="81.44"/>
    <n v="71.33"/>
    <n v="87"/>
    <s v="Yes"/>
    <n v="0.10526315789473684"/>
    <n v="47220.46"/>
    <n v="6692.82"/>
    <n v="0.13141993957703926"/>
    <n v="0.61"/>
    <n v="0.12414047151277013"/>
  </r>
  <r>
    <s v="Vendor_01"/>
    <x v="0"/>
    <n v="2022"/>
    <s v="Raw Materials"/>
    <x v="1"/>
    <n v="1042"/>
    <n v="36.74"/>
    <n v="35.78"/>
    <n v="33"/>
    <s v="Yes"/>
    <n v="0.75886524822695034"/>
    <n v="37282.76"/>
    <n v="1000.32"/>
    <n v="3.166986564299424E-2"/>
    <n v="0.94"/>
    <n v="2.6129559063690824E-2"/>
  </r>
  <r>
    <s v="Vendor_01"/>
    <x v="0"/>
    <n v="2022"/>
    <s v="Raw Materials"/>
    <x v="1"/>
    <n v="313"/>
    <n v="64.03"/>
    <n v="57.74"/>
    <n v="1"/>
    <s v="Yes"/>
    <n v="0.75886524822695034"/>
    <n v="18072.62"/>
    <n v="1968.77"/>
    <n v="3.1948881789137379E-3"/>
    <n v="0.94"/>
    <n v="9.8235202248945788E-2"/>
  </r>
  <r>
    <s v="Vendor_01"/>
    <x v="0"/>
    <n v="2022"/>
    <s v="Office Supplies"/>
    <x v="1"/>
    <n v="1126"/>
    <n v="55.22"/>
    <n v="50.38"/>
    <n v="24"/>
    <s v="Yes"/>
    <n v="0.75886524822695034"/>
    <n v="56727.88"/>
    <n v="5449.84"/>
    <n v="2.1314387211367674E-2"/>
    <n v="0.94"/>
    <n v="8.7649402390438183E-2"/>
  </r>
  <r>
    <s v="Vendor_05"/>
    <x v="2"/>
    <n v="2022"/>
    <s v="MRO"/>
    <x v="1"/>
    <n v="1645"/>
    <n v="72.17"/>
    <n v="64"/>
    <n v="79"/>
    <s v="Yes"/>
    <n v="0.72027972027972031"/>
    <n v="105280"/>
    <n v="13439.65"/>
    <n v="4.8024316109422489E-2"/>
    <n v="0.86"/>
    <n v="0.11320493279756133"/>
  </r>
  <r>
    <s v="Vendor_02"/>
    <x v="3"/>
    <n v="2023"/>
    <s v="Packaging"/>
    <x v="1"/>
    <n v="1053"/>
    <n v="100.92"/>
    <n v="92.35"/>
    <n v="104"/>
    <s v="Yes"/>
    <n v="0.70512820512820518"/>
    <n v="97244.55"/>
    <n v="9024.2099999999991"/>
    <n v="9.8765432098765427E-2"/>
    <n v="0.76"/>
    <n v="8.4918747522790397E-2"/>
  </r>
  <r>
    <s v="Vendor_04"/>
    <x v="4"/>
    <n v="2023"/>
    <s v="MRO"/>
    <x v="1"/>
    <n v="1693"/>
    <n v="83.14"/>
    <n v="73.3"/>
    <n v="62"/>
    <s v="Yes"/>
    <n v="0.72289156626506024"/>
    <n v="124096.9"/>
    <n v="16659.12"/>
    <n v="3.662138216184288E-2"/>
    <n v="0.98"/>
    <n v="0.11835458263170559"/>
  </r>
  <r>
    <s v="Vendor_04"/>
    <x v="4"/>
    <n v="2023"/>
    <s v="Raw Materials"/>
    <x v="3"/>
    <n v="54"/>
    <n v="32.28"/>
    <n v="28.65"/>
    <n v="3"/>
    <s v="Yes"/>
    <n v="0.10843373493975904"/>
    <n v="1547.1"/>
    <n v="196.02"/>
    <n v="5.5555555555555552E-2"/>
    <n v="0.98"/>
    <n v="0.11245353159851308"/>
  </r>
  <r>
    <s v="Vendor_04"/>
    <x v="4"/>
    <n v="2023"/>
    <s v="Packaging"/>
    <x v="1"/>
    <n v="1176"/>
    <n v="14.22"/>
    <n v="12.21"/>
    <n v="33"/>
    <s v="Yes"/>
    <n v="0.72289156626506024"/>
    <n v="14358.96"/>
    <n v="2363.7600000000002"/>
    <n v="2.8061224489795918E-2"/>
    <n v="0.98"/>
    <n v="0.1413502109704641"/>
  </r>
  <r>
    <s v="Vendor_04"/>
    <x v="4"/>
    <n v="2022"/>
    <s v="Raw Materials"/>
    <x v="1"/>
    <n v="1269"/>
    <n v="35.28"/>
    <n v="33.700000000000003"/>
    <n v="35"/>
    <s v="Yes"/>
    <n v="0.72289156626506024"/>
    <n v="42765.3"/>
    <n v="2005.02"/>
    <n v="2.7580772261623327E-2"/>
    <n v="0.98"/>
    <n v="4.4784580498866161E-2"/>
  </r>
  <r>
    <s v="Vendor_04"/>
    <x v="4"/>
    <n v="2023"/>
    <s v="Raw Materials"/>
    <x v="1"/>
    <n v="823"/>
    <n v="68.319999999999993"/>
    <n v="64.459999999999994"/>
    <n v="19"/>
    <s v="Yes"/>
    <n v="0.72289156626506024"/>
    <n v="53050.58"/>
    <n v="3176.78"/>
    <n v="2.3086269744835967E-2"/>
    <n v="0.98"/>
    <n v="5.6498829039812647E-2"/>
  </r>
  <r>
    <s v="Vendor_02"/>
    <x v="3"/>
    <n v="2023"/>
    <s v="Electronics"/>
    <x v="1"/>
    <n v="926"/>
    <n v="15.65"/>
    <n v="13.49"/>
    <n v="94"/>
    <s v="No"/>
    <n v="0.70512820512820518"/>
    <n v="12491.74"/>
    <n v="2000.16"/>
    <n v="0.10151187904967603"/>
    <n v="0.24"/>
    <n v="0.13801916932907349"/>
  </r>
  <r>
    <s v="Vendor_03"/>
    <x v="1"/>
    <n v="2023"/>
    <s v="Electronics"/>
    <x v="0"/>
    <n v="1041"/>
    <n v="58.5"/>
    <n v="52.54"/>
    <n v="170"/>
    <s v="No"/>
    <n v="9.3567251461988299E-2"/>
    <n v="54694.14"/>
    <n v="6204.36"/>
    <n v="0.1633045148895293"/>
    <n v="0.39"/>
    <n v="0.1018803418803419"/>
  </r>
  <r>
    <s v="Vendor_05"/>
    <x v="2"/>
    <n v="2023"/>
    <s v="Electronics"/>
    <x v="3"/>
    <n v="933"/>
    <n v="70.72"/>
    <n v="65.47"/>
    <n v="42"/>
    <s v="Yes"/>
    <n v="0.11188811188811189"/>
    <n v="61083.51"/>
    <n v="4898.25"/>
    <n v="4.5016077170418008E-2"/>
    <n v="0.86"/>
    <n v="7.4236425339366516E-2"/>
  </r>
  <r>
    <s v="Vendor_03"/>
    <x v="1"/>
    <n v="2022"/>
    <s v="Raw Materials"/>
    <x v="1"/>
    <n v="1423"/>
    <n v="41.48"/>
    <n v="40.9"/>
    <n v="199"/>
    <s v="Yes"/>
    <n v="0.70175438596491224"/>
    <n v="58200.7"/>
    <n v="825.34"/>
    <n v="0.13984539704848911"/>
    <n v="0.61"/>
    <n v="1.3982642237222717E-2"/>
  </r>
  <r>
    <s v="Vendor_03"/>
    <x v="1"/>
    <n v="2023"/>
    <s v="MRO"/>
    <x v="1"/>
    <n v="96"/>
    <n v="86.13"/>
    <n v="80.319999999999993"/>
    <n v="12"/>
    <s v="No"/>
    <n v="0.70175438596491224"/>
    <n v="7710.72"/>
    <n v="557.76"/>
    <n v="0.125"/>
    <n v="0.39"/>
    <n v="6.7456170904446791E-2"/>
  </r>
  <r>
    <s v="Vendor_04"/>
    <x v="4"/>
    <n v="2023"/>
    <s v="MRO"/>
    <x v="1"/>
    <n v="916"/>
    <n v="21.06"/>
    <n v="19.53"/>
    <n v="25"/>
    <s v="Yes"/>
    <n v="0.72289156626506024"/>
    <n v="17889.48"/>
    <n v="1401.48"/>
    <n v="2.7292576419213975E-2"/>
    <n v="0.98"/>
    <n v="7.2649572649572544E-2"/>
  </r>
  <r>
    <s v="Vendor_04"/>
    <x v="4"/>
    <n v="2022"/>
    <s v="Raw Materials"/>
    <x v="1"/>
    <n v="872"/>
    <n v="17.18"/>
    <n v="16.63"/>
    <n v="20"/>
    <s v="Yes"/>
    <n v="0.72289156626506024"/>
    <n v="14501.36"/>
    <n v="479.6"/>
    <n v="2.2935779816513763E-2"/>
    <n v="0.98"/>
    <n v="3.2013969732246843E-2"/>
  </r>
  <r>
    <s v="Vendor_02"/>
    <x v="3"/>
    <n v="2023"/>
    <s v="Electronics"/>
    <x v="1"/>
    <n v="985"/>
    <n v="83.85"/>
    <n v="80.88"/>
    <n v="105"/>
    <s v="No"/>
    <n v="0.70512820512820518"/>
    <n v="79666.8"/>
    <n v="2925.45"/>
    <n v="0.1065989847715736"/>
    <n v="0.24"/>
    <n v="3.5420393559928431E-2"/>
  </r>
  <r>
    <s v="Vendor_05"/>
    <x v="2"/>
    <n v="2022"/>
    <s v="Raw Materials"/>
    <x v="1"/>
    <n v="1893"/>
    <n v="55.14"/>
    <n v="50.1"/>
    <n v="98"/>
    <s v="Yes"/>
    <n v="0.72027972027972031"/>
    <n v="94839.3"/>
    <n v="9540.7199999999993"/>
    <n v="5.1769677760169046E-2"/>
    <n v="0.86"/>
    <n v="9.14036996735582E-2"/>
  </r>
  <r>
    <s v="Vendor_01"/>
    <x v="0"/>
    <n v="2022"/>
    <s v="MRO"/>
    <x v="1"/>
    <n v="705"/>
    <n v="75.19"/>
    <n v="69.55"/>
    <n v="19"/>
    <s v="Yes"/>
    <n v="0.75886524822695034"/>
    <n v="49032.75"/>
    <n v="3976.2"/>
    <n v="2.6950354609929079E-2"/>
    <n v="0.94"/>
    <n v="7.5009974730682286E-2"/>
  </r>
  <r>
    <s v="Vendor_03"/>
    <x v="1"/>
    <n v="2023"/>
    <s v="MRO"/>
    <x v="1"/>
    <n v="318"/>
    <n v="53.31"/>
    <n v="51.78"/>
    <n v="155"/>
    <s v="No"/>
    <n v="0.70175438596491224"/>
    <n v="16466.04"/>
    <n v="486.54"/>
    <n v="0.48742138364779874"/>
    <n v="0.39"/>
    <n v="2.8700056274620165E-2"/>
  </r>
  <r>
    <s v="Vendor_01"/>
    <x v="0"/>
    <n v="2023"/>
    <s v="Office Supplies"/>
    <x v="3"/>
    <n v="419"/>
    <n v="35.72"/>
    <n v="32.74"/>
    <n v="7"/>
    <s v="Yes"/>
    <n v="7.8014184397163122E-2"/>
    <n v="13718.06"/>
    <n v="1248.6199999999999"/>
    <n v="1.6706443914081145E-2"/>
    <n v="0.94"/>
    <n v="8.3426651735722196E-2"/>
  </r>
  <r>
    <s v="Vendor_05"/>
    <x v="2"/>
    <n v="2023"/>
    <s v="MRO"/>
    <x v="1"/>
    <n v="685"/>
    <n v="92.51"/>
    <n v="90.05"/>
    <n v="38"/>
    <s v="Yes"/>
    <n v="0.72027972027972031"/>
    <n v="61684.25"/>
    <n v="1685.1"/>
    <n v="5.5474452554744529E-2"/>
    <n v="0.86"/>
    <n v="2.6591719814074238E-2"/>
  </r>
  <r>
    <s v="Vendor_03"/>
    <x v="1"/>
    <n v="2023"/>
    <s v="Office Supplies"/>
    <x v="2"/>
    <n v="1179"/>
    <n v="90.14"/>
    <n v="82.63"/>
    <n v="194"/>
    <s v="Yes"/>
    <n v="0.10526315789473684"/>
    <n v="97420.77"/>
    <n v="8854.2900000000009"/>
    <n v="0.1645462256149279"/>
    <n v="0.61"/>
    <n v="8.3314843576658582E-2"/>
  </r>
  <r>
    <s v="Vendor_01"/>
    <x v="0"/>
    <n v="2022"/>
    <s v="Raw Materials"/>
    <x v="1"/>
    <n v="1743"/>
    <n v="76.510000000000005"/>
    <n v="65.88"/>
    <n v="40"/>
    <s v="Yes"/>
    <n v="0.75886524822695034"/>
    <n v="114828.84"/>
    <n v="18528.09"/>
    <n v="2.2948938611589215E-2"/>
    <n v="0.94"/>
    <n v="0.13893608678604116"/>
  </r>
  <r>
    <s v="Vendor_01"/>
    <x v="0"/>
    <n v="2022"/>
    <s v="MRO"/>
    <x v="1"/>
    <n v="1732"/>
    <n v="35.01"/>
    <n v="34.18"/>
    <n v="40"/>
    <s v="Yes"/>
    <n v="0.75886524822695034"/>
    <n v="59199.76"/>
    <n v="1437.56"/>
    <n v="2.3094688221709007E-2"/>
    <n v="0.94"/>
    <n v="2.3707512139388699E-2"/>
  </r>
  <r>
    <s v="Vendor_02"/>
    <x v="3"/>
    <n v="2022"/>
    <s v="Office Supplies"/>
    <x v="1"/>
    <n v="706"/>
    <n v="65.33"/>
    <n v="62.06"/>
    <n v="60"/>
    <s v="No"/>
    <n v="0.70512820512820518"/>
    <n v="43814.36"/>
    <n v="2308.62"/>
    <n v="8.4985835694050993E-2"/>
    <n v="0.24"/>
    <n v="5.005357416194698E-2"/>
  </r>
  <r>
    <s v="Vendor_05"/>
    <x v="2"/>
    <n v="2023"/>
    <s v="MRO"/>
    <x v="0"/>
    <n v="169"/>
    <n v="47.16"/>
    <n v="43.4"/>
    <n v="55"/>
    <s v="Yes"/>
    <n v="4.195804195804196E-2"/>
    <n v="7334.6"/>
    <n v="635.44000000000005"/>
    <n v="0.32544378698224852"/>
    <n v="0.86"/>
    <n v="7.9728583545377402E-2"/>
  </r>
  <r>
    <s v="Vendor_05"/>
    <x v="2"/>
    <n v="2022"/>
    <s v="Office Supplies"/>
    <x v="3"/>
    <n v="880"/>
    <n v="19.149999999999999"/>
    <n v="18.690000000000001"/>
    <n v="55"/>
    <s v="No"/>
    <n v="0.11188811188811189"/>
    <n v="16447.2"/>
    <n v="404.8"/>
    <n v="6.25E-2"/>
    <n v="0.14000000000000001"/>
    <n v="2.4020887728459391E-2"/>
  </r>
  <r>
    <s v="Vendor_05"/>
    <x v="2"/>
    <n v="2022"/>
    <s v="MRO"/>
    <x v="1"/>
    <n v="1860"/>
    <n v="95.8"/>
    <n v="92.17"/>
    <n v="105"/>
    <s v="No"/>
    <n v="0.72027972027972031"/>
    <n v="171436.2"/>
    <n v="6751.8"/>
    <n v="5.6451612903225805E-2"/>
    <n v="0.14000000000000001"/>
    <n v="3.7891440501043795E-2"/>
  </r>
  <r>
    <s v="Vendor_03"/>
    <x v="1"/>
    <n v="2022"/>
    <s v="MRO"/>
    <x v="1"/>
    <n v="1677"/>
    <n v="22.98"/>
    <n v="21.71"/>
    <n v="246"/>
    <s v="Yes"/>
    <n v="0.70175438596491224"/>
    <n v="36407.67"/>
    <n v="2129.79"/>
    <n v="0.14669051878354203"/>
    <n v="0.61"/>
    <n v="5.5265448215839841E-2"/>
  </r>
  <r>
    <s v="Vendor_02"/>
    <x v="3"/>
    <n v="2022"/>
    <s v="Packaging"/>
    <x v="2"/>
    <n v="1131"/>
    <n v="97.43"/>
    <n v="91.28"/>
    <n v="103"/>
    <s v="Yes"/>
    <n v="8.3333333333333329E-2"/>
    <n v="103237.68"/>
    <n v="6955.65"/>
    <n v="9.1069849690539342E-2"/>
    <n v="0.76"/>
    <n v="6.3122241609360627E-2"/>
  </r>
  <r>
    <s v="Vendor_04"/>
    <x v="4"/>
    <n v="2022"/>
    <s v="Raw Materials"/>
    <x v="0"/>
    <n v="1419"/>
    <n v="50.14"/>
    <n v="43.46"/>
    <n v="33"/>
    <s v="Yes"/>
    <n v="8.4337349397590355E-2"/>
    <n v="61669.74"/>
    <n v="9478.92"/>
    <n v="2.3255813953488372E-2"/>
    <n v="0.98"/>
    <n v="0.13322696449940166"/>
  </r>
  <r>
    <s v="Vendor_03"/>
    <x v="1"/>
    <n v="2022"/>
    <s v="Raw Materials"/>
    <x v="3"/>
    <n v="790"/>
    <n v="26.8"/>
    <n v="25.62"/>
    <n v="115"/>
    <s v="Yes"/>
    <n v="9.9415204678362568E-2"/>
    <n v="20239.8"/>
    <n v="932.2"/>
    <n v="0.14556962025316456"/>
    <n v="0.61"/>
    <n v="4.4029850746268646E-2"/>
  </r>
  <r>
    <s v="Vendor_05"/>
    <x v="2"/>
    <n v="2022"/>
    <s v="MRO"/>
    <x v="3"/>
    <n v="1547"/>
    <n v="61.12"/>
    <n v="53.43"/>
    <n v="77"/>
    <s v="Yes"/>
    <n v="0.11188811188811189"/>
    <n v="82656.210000000006"/>
    <n v="11896.43"/>
    <n v="4.9773755656108594E-2"/>
    <n v="0.86"/>
    <n v="0.1258180628272251"/>
  </r>
  <r>
    <s v="Vendor_03"/>
    <x v="1"/>
    <n v="2023"/>
    <s v="Office Supplies"/>
    <x v="0"/>
    <n v="166"/>
    <n v="95.65"/>
    <n v="94.48"/>
    <n v="23"/>
    <s v="Yes"/>
    <n v="9.3567251461988299E-2"/>
    <n v="15683.68"/>
    <n v="194.22"/>
    <n v="0.13855421686746988"/>
    <n v="0.61"/>
    <n v="1.2232096184004199E-2"/>
  </r>
  <r>
    <s v="Vendor_01"/>
    <x v="0"/>
    <n v="2023"/>
    <s v="Electronics"/>
    <x v="1"/>
    <n v="1903"/>
    <n v="83.49"/>
    <n v="82.33"/>
    <n v="43"/>
    <s v="Yes"/>
    <n v="0.75886524822695034"/>
    <n v="156673.99"/>
    <n v="2207.48"/>
    <n v="2.2595901208617972E-2"/>
    <n v="0.94"/>
    <n v="1.3893879506527687E-2"/>
  </r>
  <r>
    <s v="Vendor_03"/>
    <x v="1"/>
    <n v="2022"/>
    <s v="Office Supplies"/>
    <x v="2"/>
    <n v="840"/>
    <n v="83.42"/>
    <n v="80.349999999999994"/>
    <n v="153"/>
    <s v="Yes"/>
    <n v="0.10526315789473684"/>
    <n v="67494"/>
    <n v="2578.8000000000002"/>
    <n v="0.18214285714285713"/>
    <n v="0.61"/>
    <n v="3.680172620474715E-2"/>
  </r>
  <r>
    <s v="Vendor_03"/>
    <x v="1"/>
    <n v="2023"/>
    <s v="MRO"/>
    <x v="1"/>
    <n v="1200"/>
    <n v="74.489999999999995"/>
    <n v="64.63"/>
    <n v="161"/>
    <s v="Yes"/>
    <n v="0.70175438596491224"/>
    <n v="77556"/>
    <n v="11832"/>
    <n v="0.13416666666666666"/>
    <n v="0.61"/>
    <n v="0.13236676063901195"/>
  </r>
  <r>
    <s v="Vendor_05"/>
    <x v="2"/>
    <n v="2023"/>
    <s v="Raw Materials"/>
    <x v="1"/>
    <n v="1466"/>
    <n v="77.37"/>
    <n v="70.349999999999994"/>
    <n v="72"/>
    <s v="Yes"/>
    <n v="0.72027972027972031"/>
    <n v="103133.1"/>
    <n v="10291.32"/>
    <n v="4.9113233287858118E-2"/>
    <n v="0.86"/>
    <n v="9.0732842186894272E-2"/>
  </r>
  <r>
    <s v="Vendor_01"/>
    <x v="0"/>
    <n v="2023"/>
    <s v="Office Supplies"/>
    <x v="1"/>
    <n v="1981"/>
    <n v="95.5"/>
    <n v="94.39"/>
    <n v="49"/>
    <s v="Yes"/>
    <n v="0.75886524822695034"/>
    <n v="186986.59"/>
    <n v="2198.91"/>
    <n v="2.4734982332155476E-2"/>
    <n v="0.94"/>
    <n v="1.1623036649214654E-2"/>
  </r>
  <r>
    <s v="Vendor_05"/>
    <x v="2"/>
    <n v="2023"/>
    <s v="Packaging"/>
    <x v="1"/>
    <n v="1062"/>
    <n v="35.549999999999997"/>
    <n v="32.380000000000003"/>
    <n v="55"/>
    <s v="Yes"/>
    <n v="0.72027972027972031"/>
    <n v="34387.56"/>
    <n v="3366.54"/>
    <n v="5.1789077212806026E-2"/>
    <n v="0.86"/>
    <n v="8.9170182841068771E-2"/>
  </r>
  <r>
    <s v="Vendor_01"/>
    <x v="0"/>
    <n v="2022"/>
    <s v="MRO"/>
    <x v="1"/>
    <n v="1714"/>
    <n v="55.67"/>
    <n v="55.09"/>
    <n v="42"/>
    <s v="Yes"/>
    <n v="0.75886524822695034"/>
    <n v="94424.26"/>
    <n v="994.12"/>
    <n v="2.4504084014002333E-2"/>
    <n v="0.94"/>
    <n v="1.0418537812107028E-2"/>
  </r>
  <r>
    <s v="Vendor_01"/>
    <x v="0"/>
    <n v="2023"/>
    <s v="Office Supplies"/>
    <x v="1"/>
    <n v="1131"/>
    <n v="33.35"/>
    <n v="31.28"/>
    <n v="23"/>
    <s v="Yes"/>
    <n v="0.75886524822695034"/>
    <n v="35377.68"/>
    <n v="2341.17"/>
    <n v="2.0335985853227233E-2"/>
    <n v="0.94"/>
    <n v="6.2068965517241385E-2"/>
  </r>
  <r>
    <s v="Vendor_01"/>
    <x v="0"/>
    <n v="2023"/>
    <s v="Office Supplies"/>
    <x v="1"/>
    <n v="683"/>
    <n v="104.82"/>
    <n v="101.34"/>
    <n v="24"/>
    <s v="Yes"/>
    <n v="0.75886524822695034"/>
    <n v="69215.22"/>
    <n v="2376.84"/>
    <n v="3.5139092240117131E-2"/>
    <n v="0.94"/>
    <n v="3.3199771036061726E-2"/>
  </r>
  <r>
    <s v="Vendor_05"/>
    <x v="2"/>
    <n v="2023"/>
    <s v="Packaging"/>
    <x v="2"/>
    <n v="562"/>
    <n v="102.56"/>
    <n v="90.88"/>
    <n v="38"/>
    <s v="Yes"/>
    <n v="0.12587412587412589"/>
    <n v="51074.559999999998"/>
    <n v="6564.16"/>
    <n v="6.7615658362989328E-2"/>
    <n v="0.86"/>
    <n v="0.11388455538221536"/>
  </r>
  <r>
    <s v="Vendor_01"/>
    <x v="0"/>
    <n v="2023"/>
    <s v="Electronics"/>
    <x v="1"/>
    <n v="1824"/>
    <n v="14.43"/>
    <n v="14.11"/>
    <n v="36"/>
    <s v="Yes"/>
    <n v="0.75886524822695034"/>
    <n v="25736.639999999999"/>
    <n v="583.67999999999995"/>
    <n v="1.9736842105263157E-2"/>
    <n v="0.94"/>
    <n v="2.2176022176022197E-2"/>
  </r>
  <r>
    <s v="Vendor_02"/>
    <x v="3"/>
    <n v="2022"/>
    <s v="Electronics"/>
    <x v="2"/>
    <n v="851"/>
    <n v="76.44"/>
    <n v="74.760000000000005"/>
    <n v="91"/>
    <s v="Yes"/>
    <n v="8.3333333333333329E-2"/>
    <n v="63620.76"/>
    <n v="1429.68"/>
    <n v="0.10693301997649823"/>
    <n v="0.76"/>
    <n v="2.1978021978021883E-2"/>
  </r>
  <r>
    <s v="Vendor_02"/>
    <x v="3"/>
    <n v="2022"/>
    <s v="Office Supplies"/>
    <x v="1"/>
    <n v="1169"/>
    <n v="95.6"/>
    <n v="82.16"/>
    <n v="103"/>
    <s v="Yes"/>
    <n v="0.70512820512820518"/>
    <n v="96045.04"/>
    <n v="15711.36"/>
    <n v="8.8109495295124032E-2"/>
    <n v="0.76"/>
    <n v="0.14058577405857739"/>
  </r>
  <r>
    <s v="Vendor_04"/>
    <x v="4"/>
    <n v="2023"/>
    <s v="MRO"/>
    <x v="1"/>
    <n v="1711"/>
    <n v="29.14"/>
    <n v="26.35"/>
    <n v="48"/>
    <s v="Yes"/>
    <n v="0.72289156626506024"/>
    <n v="45084.85"/>
    <n v="4773.6899999999996"/>
    <n v="2.8053769725306838E-2"/>
    <n v="0.98"/>
    <n v="9.5744680851063801E-2"/>
  </r>
  <r>
    <s v="Vendor_02"/>
    <x v="3"/>
    <n v="2023"/>
    <s v="Packaging"/>
    <x v="3"/>
    <n v="1191"/>
    <n v="68.14"/>
    <n v="61.71"/>
    <n v="112"/>
    <s v="Yes"/>
    <n v="0.12179487179487179"/>
    <n v="73496.61"/>
    <n v="7658.13"/>
    <n v="9.4038623005877411E-2"/>
    <n v="0.76"/>
    <n v="9.4364543586733185E-2"/>
  </r>
  <r>
    <s v="Vendor_04"/>
    <x v="4"/>
    <n v="2022"/>
    <s v="Electronics"/>
    <x v="1"/>
    <n v="609"/>
    <n v="92.39"/>
    <n v="82.75"/>
    <n v="29"/>
    <s v="Yes"/>
    <n v="0.72289156626506024"/>
    <n v="50394.75"/>
    <n v="5870.76"/>
    <n v="4.7619047619047616E-2"/>
    <n v="0.98"/>
    <n v="0.10434029656889274"/>
  </r>
  <r>
    <s v="Vendor_02"/>
    <x v="3"/>
    <n v="2022"/>
    <s v="Office Supplies"/>
    <x v="1"/>
    <n v="1674"/>
    <n v="13.25"/>
    <n v="11.77"/>
    <n v="181"/>
    <s v="Yes"/>
    <n v="0.70512820512820518"/>
    <n v="19702.98"/>
    <n v="2477.52"/>
    <n v="0.10812425328554361"/>
    <n v="0.76"/>
    <n v="0.1116981132075472"/>
  </r>
  <r>
    <s v="Vendor_05"/>
    <x v="2"/>
    <n v="2023"/>
    <s v="MRO"/>
    <x v="1"/>
    <n v="537"/>
    <n v="77.86"/>
    <n v="71.180000000000007"/>
    <n v="20"/>
    <s v="Yes"/>
    <n v="0.72027972027972031"/>
    <n v="38223.660000000003"/>
    <n v="3587.16"/>
    <n v="3.7243947858473E-2"/>
    <n v="0.86"/>
    <n v="8.579501669663489E-2"/>
  </r>
  <r>
    <s v="Vendor_04"/>
    <x v="4"/>
    <n v="2022"/>
    <s v="Electronics"/>
    <x v="1"/>
    <n v="1310"/>
    <n v="38.049999999999997"/>
    <n v="37"/>
    <n v="45"/>
    <s v="Yes"/>
    <n v="0.72289156626506024"/>
    <n v="48470"/>
    <n v="1375.5"/>
    <n v="3.4351145038167941E-2"/>
    <n v="0.98"/>
    <n v="2.7595269382391516E-2"/>
  </r>
  <r>
    <s v="Vendor_03"/>
    <x v="1"/>
    <n v="2022"/>
    <s v="Raw Materials"/>
    <x v="1"/>
    <n v="1958"/>
    <n v="95.53"/>
    <n v="91.72"/>
    <n v="308"/>
    <s v="Yes"/>
    <n v="0.70175438596491224"/>
    <n v="179587.76"/>
    <n v="7459.98"/>
    <n v="0.15730337078651685"/>
    <n v="0.61"/>
    <n v="3.9882759342614905E-2"/>
  </r>
  <r>
    <s v="Vendor_03"/>
    <x v="1"/>
    <n v="2023"/>
    <s v="Office Supplies"/>
    <x v="1"/>
    <n v="946"/>
    <n v="108.6"/>
    <n v="101.78"/>
    <n v="146"/>
    <s v="Yes"/>
    <n v="0.70175438596491224"/>
    <n v="96283.88"/>
    <n v="6451.72"/>
    <n v="0.15433403805496829"/>
    <n v="0.61"/>
    <n v="6.2799263351749485E-2"/>
  </r>
  <r>
    <s v="Vendor_02"/>
    <x v="3"/>
    <n v="2023"/>
    <s v="Packaging"/>
    <x v="2"/>
    <n v="1345"/>
    <n v="103.06"/>
    <n v="95.14"/>
    <n v="105"/>
    <s v="Yes"/>
    <n v="8.3333333333333329E-2"/>
    <n v="127963.3"/>
    <n v="10652.4"/>
    <n v="7.8066914498141265E-2"/>
    <n v="0.76"/>
    <n v="7.6848437803221439E-2"/>
  </r>
  <r>
    <s v="Vendor_03"/>
    <x v="1"/>
    <n v="2023"/>
    <s v="MRO"/>
    <x v="1"/>
    <n v="1262"/>
    <n v="56.63"/>
    <n v="51.46"/>
    <n v="155"/>
    <s v="No"/>
    <n v="0.70175438596491224"/>
    <n v="64942.52"/>
    <n v="6524.54"/>
    <n v="0.12282091917591126"/>
    <n v="0.39"/>
    <n v="9.1294366943316288E-2"/>
  </r>
  <r>
    <s v="Vendor_02"/>
    <x v="3"/>
    <n v="2022"/>
    <s v="Office Supplies"/>
    <x v="3"/>
    <n v="753"/>
    <n v="88.02"/>
    <n v="79.92"/>
    <n v="75"/>
    <s v="Yes"/>
    <n v="0.12179487179487179"/>
    <n v="60179.76"/>
    <n v="6099.3"/>
    <n v="9.9601593625498003E-2"/>
    <n v="0.76"/>
    <n v="9.2024539877300554E-2"/>
  </r>
  <r>
    <s v="Vendor_02"/>
    <x v="3"/>
    <n v="2023"/>
    <s v="Electronics"/>
    <x v="1"/>
    <n v="1520"/>
    <n v="93.75"/>
    <n v="81.63"/>
    <n v="149"/>
    <s v="Yes"/>
    <n v="0.70512820512820518"/>
    <n v="124077.6"/>
    <n v="18422.400000000001"/>
    <n v="9.8026315789473684E-2"/>
    <n v="0.76"/>
    <n v="0.12928000000000006"/>
  </r>
  <r>
    <s v="Vendor_03"/>
    <x v="1"/>
    <n v="2022"/>
    <s v="Office Supplies"/>
    <x v="1"/>
    <n v="630"/>
    <n v="40.270000000000003"/>
    <n v="37.54"/>
    <n v="76"/>
    <s v="Yes"/>
    <n v="0.70175438596491224"/>
    <n v="23650.2"/>
    <n v="1719.9"/>
    <n v="0.12063492063492064"/>
    <n v="0.61"/>
    <n v="6.779240129128393E-2"/>
  </r>
  <r>
    <s v="Vendor_03"/>
    <x v="1"/>
    <n v="2022"/>
    <s v="Office Supplies"/>
    <x v="1"/>
    <n v="839"/>
    <n v="86.29"/>
    <n v="82.51"/>
    <n v="110"/>
    <s v="Yes"/>
    <n v="0.70175438596491224"/>
    <n v="69225.89"/>
    <n v="3171.42"/>
    <n v="0.13110846245530394"/>
    <n v="0.61"/>
    <n v="4.3805771236527999E-2"/>
  </r>
  <r>
    <s v="Vendor_01"/>
    <x v="0"/>
    <n v="2023"/>
    <s v="Electronics"/>
    <x v="1"/>
    <n v="910"/>
    <n v="14.33"/>
    <n v="14.07"/>
    <n v="27"/>
    <s v="Yes"/>
    <n v="0.75886524822695034"/>
    <n v="12803.7"/>
    <n v="236.6"/>
    <n v="2.9670329670329669E-2"/>
    <n v="0.94"/>
    <n v="1.81437543614794E-2"/>
  </r>
  <r>
    <s v="Vendor_04"/>
    <x v="4"/>
    <n v="2022"/>
    <s v="Raw Materials"/>
    <x v="1"/>
    <n v="296"/>
    <n v="64.94"/>
    <n v="63.61"/>
    <n v="33"/>
    <s v="Yes"/>
    <n v="0.72289156626506024"/>
    <n v="18828.560000000001"/>
    <n v="393.68"/>
    <n v="0.11148648648648649"/>
    <n v="0.98"/>
    <n v="2.0480443486295016E-2"/>
  </r>
  <r>
    <s v="Vendor_02"/>
    <x v="3"/>
    <n v="2023"/>
    <s v="MRO"/>
    <x v="1"/>
    <n v="1149"/>
    <n v="33"/>
    <n v="30.65"/>
    <n v="141"/>
    <s v="Yes"/>
    <n v="0.70512820512820518"/>
    <n v="35216.85"/>
    <n v="2700.15"/>
    <n v="0.12271540469973891"/>
    <n v="0.76"/>
    <n v="7.1212121212121254E-2"/>
  </r>
  <r>
    <s v="Vendor_03"/>
    <x v="1"/>
    <n v="2023"/>
    <s v="Electronics"/>
    <x v="1"/>
    <n v="203"/>
    <n v="23.14"/>
    <n v="20"/>
    <n v="155"/>
    <s v="No"/>
    <n v="0.70175438596491224"/>
    <n v="4060"/>
    <n v="637.41999999999996"/>
    <n v="0.76354679802955661"/>
    <n v="0.39"/>
    <n v="0.13569576490924809"/>
  </r>
  <r>
    <s v="Vendor_04"/>
    <x v="4"/>
    <n v="2023"/>
    <s v="Office Supplies"/>
    <x v="1"/>
    <n v="1729"/>
    <n v="18.36"/>
    <n v="16.34"/>
    <n v="47"/>
    <s v="Yes"/>
    <n v="0.72289156626506024"/>
    <n v="28251.86"/>
    <n v="3492.58"/>
    <n v="2.7183342972816656E-2"/>
    <n v="0.98"/>
    <n v="0.11002178649237471"/>
  </r>
  <r>
    <s v="Vendor_03"/>
    <x v="1"/>
    <n v="2023"/>
    <s v="Office Supplies"/>
    <x v="1"/>
    <n v="1508"/>
    <n v="79.209999999999994"/>
    <n v="73.27"/>
    <n v="226"/>
    <s v="Yes"/>
    <n v="0.70175438596491224"/>
    <n v="110491.16"/>
    <n v="8957.52"/>
    <n v="0.14986737400530503"/>
    <n v="0.61"/>
    <n v="7.4990531498548146E-2"/>
  </r>
  <r>
    <s v="Vendor_03"/>
    <x v="1"/>
    <n v="2023"/>
    <s v="Packaging"/>
    <x v="2"/>
    <n v="1046"/>
    <n v="44.65"/>
    <n v="40.1"/>
    <n v="165"/>
    <s v="No"/>
    <n v="0.10526315789473684"/>
    <n v="41944.6"/>
    <n v="4759.3"/>
    <n v="0.15774378585086041"/>
    <n v="0.39"/>
    <n v="0.10190369540873455"/>
  </r>
  <r>
    <s v="Vendor_01"/>
    <x v="0"/>
    <n v="2022"/>
    <s v="Office Supplies"/>
    <x v="1"/>
    <n v="1159"/>
    <n v="78.989999999999995"/>
    <n v="71.69"/>
    <n v="14"/>
    <s v="Yes"/>
    <n v="0.75886524822695034"/>
    <n v="83088.710000000006"/>
    <n v="8460.7000000000007"/>
    <n v="1.2079378774805867E-2"/>
    <n v="0.94"/>
    <n v="9.2416761615394319E-2"/>
  </r>
  <r>
    <s v="Vendor_02"/>
    <x v="3"/>
    <n v="2023"/>
    <s v="Electronics"/>
    <x v="1"/>
    <n v="746"/>
    <n v="16.989999999999998"/>
    <n v="15.35"/>
    <n v="69"/>
    <s v="No"/>
    <n v="0.70512820512820518"/>
    <n v="11451.1"/>
    <n v="1223.44"/>
    <n v="9.2493297587131373E-2"/>
    <n v="0.24"/>
    <n v="9.6527369040612057E-2"/>
  </r>
  <r>
    <s v="Vendor_02"/>
    <x v="3"/>
    <n v="2023"/>
    <s v="Packaging"/>
    <x v="1"/>
    <n v="1358"/>
    <n v="42.21"/>
    <n v="38.75"/>
    <n v="128"/>
    <s v="Yes"/>
    <n v="0.70512820512820518"/>
    <n v="52622.5"/>
    <n v="4698.68"/>
    <n v="9.4256259204712811E-2"/>
    <n v="0.76"/>
    <n v="8.1971096896470044E-2"/>
  </r>
  <r>
    <s v="Vendor_05"/>
    <x v="2"/>
    <n v="2023"/>
    <s v="Office Supplies"/>
    <x v="1"/>
    <n v="1293"/>
    <n v="63.53"/>
    <n v="59.42"/>
    <n v="79"/>
    <s v="Yes"/>
    <n v="0.72027972027972031"/>
    <n v="76830.06"/>
    <n v="5314.23"/>
    <n v="6.1098221191028618E-2"/>
    <n v="0.86"/>
    <n v="6.4693845427357149E-2"/>
  </r>
  <r>
    <s v="Vendor_01"/>
    <x v="0"/>
    <n v="2023"/>
    <s v="Electronics"/>
    <x v="1"/>
    <n v="1142"/>
    <n v="86.85"/>
    <n v="74.28"/>
    <n v="30"/>
    <s v="Yes"/>
    <n v="0.75886524822695034"/>
    <n v="84827.76"/>
    <n v="14354.94"/>
    <n v="2.6269702276707531E-2"/>
    <n v="0.94"/>
    <n v="0.14473229706390323"/>
  </r>
  <r>
    <s v="Vendor_04"/>
    <x v="4"/>
    <n v="2023"/>
    <s v="MRO"/>
    <x v="1"/>
    <n v="1120"/>
    <n v="42.17"/>
    <n v="37.47"/>
    <n v="33"/>
    <s v="Yes"/>
    <n v="0.72289156626506024"/>
    <n v="41966.400000000001"/>
    <n v="5264"/>
    <n v="2.9464285714285714E-2"/>
    <n v="0.98"/>
    <n v="0.11145364002845631"/>
  </r>
  <r>
    <s v="Vendor_01"/>
    <x v="0"/>
    <n v="2023"/>
    <s v="MRO"/>
    <x v="1"/>
    <n v="1058"/>
    <n v="71.3"/>
    <n v="62.04"/>
    <n v="24"/>
    <s v="Yes"/>
    <n v="0.75886524822695034"/>
    <n v="65638.320000000007"/>
    <n v="9797.08"/>
    <n v="2.2684310018903593E-2"/>
    <n v="0.94"/>
    <n v="0.12987377279102383"/>
  </r>
  <r>
    <s v="Vendor_04"/>
    <x v="4"/>
    <n v="2022"/>
    <s v="Office Supplies"/>
    <x v="1"/>
    <n v="143"/>
    <n v="91.98"/>
    <n v="86.02"/>
    <n v="5"/>
    <s v="Yes"/>
    <n v="0.72289156626506024"/>
    <n v="12300.86"/>
    <n v="852.28"/>
    <n v="3.4965034965034968E-2"/>
    <n v="0.98"/>
    <n v="6.4796694933681315E-2"/>
  </r>
  <r>
    <s v="Vendor_02"/>
    <x v="3"/>
    <n v="2023"/>
    <s v="MRO"/>
    <x v="1"/>
    <n v="1823"/>
    <n v="70.66"/>
    <n v="66.92"/>
    <n v="202"/>
    <s v="Yes"/>
    <n v="0.70512820512820518"/>
    <n v="121995.16"/>
    <n v="6818.02"/>
    <n v="0.11080636313768513"/>
    <n v="0.76"/>
    <n v="5.2929521652986061E-2"/>
  </r>
  <r>
    <s v="Vendor_05"/>
    <x v="2"/>
    <n v="2023"/>
    <s v="Office Supplies"/>
    <x v="1"/>
    <n v="1007"/>
    <n v="33.29"/>
    <n v="28.48"/>
    <n v="49"/>
    <s v="Yes"/>
    <n v="0.72027972027972031"/>
    <n v="28679.360000000001"/>
    <n v="4843.67"/>
    <n v="4.8659384309831182E-2"/>
    <n v="0.86"/>
    <n v="0.14448783418443975"/>
  </r>
  <r>
    <s v="Vendor_05"/>
    <x v="2"/>
    <n v="2022"/>
    <s v="Packaging"/>
    <x v="1"/>
    <n v="1061"/>
    <n v="12.68"/>
    <n v="12.36"/>
    <n v="56"/>
    <s v="No"/>
    <n v="0.72027972027972031"/>
    <n v="13113.96"/>
    <n v="339.52"/>
    <n v="5.2780395852968898E-2"/>
    <n v="0.14000000000000001"/>
    <n v="2.5236593059936932E-2"/>
  </r>
  <r>
    <s v="Vendor_02"/>
    <x v="3"/>
    <n v="2022"/>
    <s v="MRO"/>
    <x v="3"/>
    <n v="502"/>
    <n v="91.84"/>
    <n v="82.33"/>
    <n v="105"/>
    <s v="Yes"/>
    <n v="0.12179487179487179"/>
    <n v="41329.660000000003"/>
    <n v="4774.0200000000004"/>
    <n v="0.20916334661354583"/>
    <n v="0.76"/>
    <n v="0.10354965156794431"/>
  </r>
  <r>
    <s v="Vendor_03"/>
    <x v="1"/>
    <n v="2023"/>
    <s v="Packaging"/>
    <x v="1"/>
    <n v="1277"/>
    <n v="13.17"/>
    <n v="11.63"/>
    <n v="199"/>
    <s v="No"/>
    <n v="0.70175438596491224"/>
    <n v="14851.51"/>
    <n v="1966.58"/>
    <n v="0.1558339859044636"/>
    <n v="0.39"/>
    <n v="0.11693242217160206"/>
  </r>
  <r>
    <s v="Vendor_01"/>
    <x v="0"/>
    <n v="2022"/>
    <s v="Packaging"/>
    <x v="1"/>
    <n v="961"/>
    <n v="92.72"/>
    <n v="88.49"/>
    <n v="22"/>
    <s v="Yes"/>
    <n v="0.75886524822695034"/>
    <n v="85038.89"/>
    <n v="4065.03"/>
    <n v="2.2892819979188347E-2"/>
    <n v="0.94"/>
    <n v="4.5621225194132919E-2"/>
  </r>
  <r>
    <s v="Vendor_05"/>
    <x v="2"/>
    <n v="2023"/>
    <s v="Packaging"/>
    <x v="1"/>
    <n v="267"/>
    <n v="62.5"/>
    <n v="61.18"/>
    <n v="17"/>
    <s v="Yes"/>
    <n v="0.72027972027972031"/>
    <n v="16335.06"/>
    <n v="352.44"/>
    <n v="6.3670411985018729E-2"/>
    <n v="0.86"/>
    <n v="2.1120000000000003E-2"/>
  </r>
  <r>
    <s v="Vendor_03"/>
    <x v="1"/>
    <n v="2023"/>
    <s v="Raw Materials"/>
    <x v="0"/>
    <n v="523"/>
    <n v="102.08"/>
    <n v="99.59"/>
    <n v="155"/>
    <s v="Yes"/>
    <n v="9.3567251461988299E-2"/>
    <n v="52085.57"/>
    <n v="1302.27"/>
    <n v="0.29636711281070743"/>
    <n v="0.61"/>
    <n v="2.4392633228840076E-2"/>
  </r>
  <r>
    <s v="Vendor_04"/>
    <x v="4"/>
    <n v="2023"/>
    <s v="Electronics"/>
    <x v="3"/>
    <n v="481"/>
    <n v="90.49"/>
    <n v="77.17"/>
    <n v="33"/>
    <s v="Yes"/>
    <n v="0.10843373493975904"/>
    <n v="37118.769999999997"/>
    <n v="6406.92"/>
    <n v="6.8607068607068611E-2"/>
    <n v="0.98"/>
    <n v="0.1471985854790584"/>
  </r>
  <r>
    <s v="Vendor_05"/>
    <x v="2"/>
    <n v="2022"/>
    <s v="Office Supplies"/>
    <x v="1"/>
    <n v="390"/>
    <n v="103.81"/>
    <n v="100.12"/>
    <n v="20"/>
    <s v="Yes"/>
    <n v="0.72027972027972031"/>
    <n v="39046.800000000003"/>
    <n v="1439.1"/>
    <n v="5.128205128205128E-2"/>
    <n v="0.86"/>
    <n v="3.5545708505924263E-2"/>
  </r>
  <r>
    <s v="Vendor_04"/>
    <x v="4"/>
    <n v="2022"/>
    <s v="Packaging"/>
    <x v="1"/>
    <n v="600"/>
    <n v="43.43"/>
    <n v="38.76"/>
    <n v="22"/>
    <s v="Yes"/>
    <n v="0.72289156626506024"/>
    <n v="23256"/>
    <n v="2802"/>
    <n v="3.6666666666666667E-2"/>
    <n v="0.98"/>
    <n v="0.10752935758692152"/>
  </r>
  <r>
    <s v="Vendor_03"/>
    <x v="1"/>
    <n v="2023"/>
    <s v="Office Supplies"/>
    <x v="1"/>
    <n v="1685"/>
    <n v="84.58"/>
    <n v="75.209999999999994"/>
    <n v="253"/>
    <s v="No"/>
    <n v="0.70175438596491224"/>
    <n v="126728.85"/>
    <n v="15788.45"/>
    <n v="0.15014836795252226"/>
    <n v="0.39"/>
    <n v="0.11078269094348552"/>
  </r>
  <r>
    <s v="Vendor_04"/>
    <x v="4"/>
    <n v="2022"/>
    <s v="Packaging"/>
    <x v="0"/>
    <n v="1362"/>
    <n v="46.64"/>
    <n v="42.85"/>
    <n v="33"/>
    <s v="Yes"/>
    <n v="8.4337349397590355E-2"/>
    <n v="58361.7"/>
    <n v="5161.9799999999996"/>
    <n v="2.4229074889867842E-2"/>
    <n v="0.98"/>
    <n v="8.1260720411663795E-2"/>
  </r>
  <r>
    <s v="Vendor_03"/>
    <x v="1"/>
    <n v="2024"/>
    <s v="Electronics"/>
    <x v="3"/>
    <n v="1327"/>
    <n v="59.57"/>
    <n v="56.44"/>
    <n v="169"/>
    <s v="Yes"/>
    <n v="9.9415204678362568E-2"/>
    <n v="74895.88"/>
    <n v="4153.51"/>
    <n v="0.12735493594574226"/>
    <n v="0.61"/>
    <n v="5.2543226456269979E-2"/>
  </r>
  <r>
    <s v="Vendor_04"/>
    <x v="4"/>
    <n v="2022"/>
    <s v="MRO"/>
    <x v="1"/>
    <n v="1807"/>
    <n v="69.47"/>
    <n v="60"/>
    <n v="50"/>
    <s v="Yes"/>
    <n v="0.72289156626506024"/>
    <n v="108420"/>
    <n v="17112.29"/>
    <n v="2.7670171555063641E-2"/>
    <n v="0.98"/>
    <n v="0.13631783503670647"/>
  </r>
  <r>
    <s v="Vendor_01"/>
    <x v="0"/>
    <n v="2022"/>
    <s v="Office Supplies"/>
    <x v="3"/>
    <n v="406"/>
    <n v="91.73"/>
    <n v="89.13"/>
    <n v="24"/>
    <s v="Yes"/>
    <n v="7.8014184397163122E-2"/>
    <n v="36186.78"/>
    <n v="1055.5999999999999"/>
    <n v="5.9113300492610835E-2"/>
    <n v="0.94"/>
    <n v="2.8344053199607637E-2"/>
  </r>
  <r>
    <s v="Vendor_05"/>
    <x v="2"/>
    <n v="2022"/>
    <s v="Raw Materials"/>
    <x v="2"/>
    <n v="72"/>
    <n v="103"/>
    <n v="89.49"/>
    <n v="1"/>
    <s v="No"/>
    <n v="0.12587412587412589"/>
    <n v="6443.28"/>
    <n v="972.72"/>
    <n v="1.3888888888888888E-2"/>
    <n v="0.14000000000000001"/>
    <n v="0.13116504854368938"/>
  </r>
  <r>
    <s v="Vendor_05"/>
    <x v="2"/>
    <n v="2022"/>
    <s v="Office Supplies"/>
    <x v="1"/>
    <n v="1835"/>
    <n v="83.5"/>
    <n v="82.36"/>
    <n v="85"/>
    <s v="No"/>
    <n v="0.72027972027972031"/>
    <n v="151130.6"/>
    <n v="2091.9"/>
    <n v="4.632152588555858E-2"/>
    <n v="0.14000000000000001"/>
    <n v="1.365269461077845E-2"/>
  </r>
  <r>
    <s v="Vendor_03"/>
    <x v="1"/>
    <n v="2022"/>
    <s v="Electronics"/>
    <x v="3"/>
    <n v="571"/>
    <n v="49.98"/>
    <n v="45.58"/>
    <n v="155"/>
    <s v="No"/>
    <n v="9.9415204678362568E-2"/>
    <n v="26026.18"/>
    <n v="2512.4"/>
    <n v="0.27145359019264448"/>
    <n v="0.39"/>
    <n v="8.8035214085634236E-2"/>
  </r>
  <r>
    <s v="Vendor_04"/>
    <x v="4"/>
    <n v="2023"/>
    <s v="Packaging"/>
    <x v="1"/>
    <n v="1831"/>
    <n v="52.24"/>
    <n v="50.44"/>
    <n v="60"/>
    <s v="Yes"/>
    <n v="0.72289156626506024"/>
    <n v="92355.64"/>
    <n v="3295.8"/>
    <n v="3.2768978700163848E-2"/>
    <n v="0.98"/>
    <n v="3.4456355283307892E-2"/>
  </r>
  <r>
    <s v="Vendor_02"/>
    <x v="3"/>
    <n v="2022"/>
    <s v="Office Supplies"/>
    <x v="3"/>
    <n v="1910"/>
    <n v="77.150000000000006"/>
    <n v="68.489999999999995"/>
    <n v="170"/>
    <s v="Yes"/>
    <n v="0.12179487179487179"/>
    <n v="130815.9"/>
    <n v="16540.599999999999"/>
    <n v="8.9005235602094238E-2"/>
    <n v="0.76"/>
    <n v="0.11224886584575515"/>
  </r>
  <r>
    <s v="Vendor_05"/>
    <x v="2"/>
    <n v="2022"/>
    <s v="Electronics"/>
    <x v="2"/>
    <n v="1173"/>
    <n v="32.119999999999997"/>
    <n v="29.18"/>
    <n v="55"/>
    <s v="Yes"/>
    <n v="0.12587412587412589"/>
    <n v="34228.14"/>
    <n v="3448.62"/>
    <n v="4.6888320545609548E-2"/>
    <n v="0.86"/>
    <n v="9.1531755915317495E-2"/>
  </r>
  <r>
    <s v="Vendor_04"/>
    <x v="4"/>
    <n v="2022"/>
    <s v="Packaging"/>
    <x v="2"/>
    <n v="851"/>
    <n v="20.440000000000001"/>
    <n v="19.22"/>
    <n v="22"/>
    <s v="Yes"/>
    <n v="8.4337349397590355E-2"/>
    <n v="16356.22"/>
    <n v="1038.22"/>
    <n v="2.5851938895417155E-2"/>
    <n v="0.98"/>
    <n v="5.9686888454011856E-2"/>
  </r>
  <r>
    <s v="Vendor_04"/>
    <x v="4"/>
    <n v="2022"/>
    <s v="MRO"/>
    <x v="0"/>
    <n v="1253"/>
    <n v="43.38"/>
    <n v="38.01"/>
    <n v="34"/>
    <s v="Yes"/>
    <n v="8.4337349397590355E-2"/>
    <n v="47626.53"/>
    <n v="6728.61"/>
    <n v="2.7134876296887472E-2"/>
    <n v="0.98"/>
    <n v="0.12378976486860314"/>
  </r>
  <r>
    <s v="Vendor_01"/>
    <x v="0"/>
    <n v="2023"/>
    <s v="Electronics"/>
    <x v="1"/>
    <n v="1296"/>
    <n v="38"/>
    <n v="33.42"/>
    <n v="33"/>
    <s v="Yes"/>
    <n v="0.75886524822695034"/>
    <n v="43312.32"/>
    <n v="5935.68"/>
    <n v="2.5462962962962962E-2"/>
    <n v="0.94"/>
    <n v="0.12052631578947363"/>
  </r>
  <r>
    <s v="Vendor_02"/>
    <x v="3"/>
    <n v="2023"/>
    <s v="Raw Materials"/>
    <x v="1"/>
    <n v="1979"/>
    <n v="40.880000000000003"/>
    <n v="39.46"/>
    <n v="221"/>
    <s v="Yes"/>
    <n v="0.70512820512820518"/>
    <n v="78091.34"/>
    <n v="2810.18"/>
    <n v="0.11167256189994947"/>
    <n v="0.76"/>
    <n v="3.4735812133072447E-2"/>
  </r>
  <r>
    <s v="Vendor_05"/>
    <x v="2"/>
    <n v="2022"/>
    <s v="Office Supplies"/>
    <x v="1"/>
    <n v="811"/>
    <n v="31.8"/>
    <n v="30.33"/>
    <n v="58"/>
    <s v="Yes"/>
    <n v="0.72027972027972031"/>
    <n v="24597.63"/>
    <n v="1192.17"/>
    <n v="7.1516646115906288E-2"/>
    <n v="0.86"/>
    <n v="4.6226415094339696E-2"/>
  </r>
  <r>
    <s v="Vendor_01"/>
    <x v="0"/>
    <n v="2023"/>
    <s v="Electronics"/>
    <x v="1"/>
    <n v="1732"/>
    <n v="15.37"/>
    <n v="14.7"/>
    <n v="38"/>
    <s v="Yes"/>
    <n v="0.75886524822695034"/>
    <n v="25460.400000000001"/>
    <n v="1160.44"/>
    <n v="2.1939953810623556E-2"/>
    <n v="0.94"/>
    <n v="4.3591411841249185E-2"/>
  </r>
  <r>
    <s v="Vendor_02"/>
    <x v="3"/>
    <n v="2022"/>
    <s v="Packaging"/>
    <x v="1"/>
    <n v="491"/>
    <n v="12.01"/>
    <n v="11.67"/>
    <n v="47"/>
    <s v="Yes"/>
    <n v="0.70512820512820518"/>
    <n v="5729.97"/>
    <n v="166.94"/>
    <n v="9.5723014256619138E-2"/>
    <n v="0.76"/>
    <n v="2.8309741881765185E-2"/>
  </r>
  <r>
    <s v="Vendor_05"/>
    <x v="2"/>
    <n v="2022"/>
    <s v="Packaging"/>
    <x v="0"/>
    <n v="1681"/>
    <n v="99.88"/>
    <n v="96.38"/>
    <n v="90"/>
    <s v="Yes"/>
    <n v="4.195804195804196E-2"/>
    <n v="162014.78"/>
    <n v="5883.5"/>
    <n v="5.353955978584176E-2"/>
    <n v="0.86"/>
    <n v="3.5042050460552664E-2"/>
  </r>
  <r>
    <s v="Vendor_01"/>
    <x v="0"/>
    <n v="2023"/>
    <s v="Raw Materials"/>
    <x v="2"/>
    <n v="818"/>
    <n v="51.89"/>
    <n v="47.85"/>
    <n v="12"/>
    <s v="Yes"/>
    <n v="7.0921985815602842E-2"/>
    <n v="39141.300000000003"/>
    <n v="3304.72"/>
    <n v="1.4669926650366748E-2"/>
    <n v="0.94"/>
    <n v="7.7857005203314691E-2"/>
  </r>
  <r>
    <s v="Vendor_02"/>
    <x v="3"/>
    <n v="2023"/>
    <s v="Office Supplies"/>
    <x v="1"/>
    <n v="1065"/>
    <n v="47.49"/>
    <n v="41.42"/>
    <n v="113"/>
    <s v="Yes"/>
    <n v="0.70512820512820518"/>
    <n v="44112.3"/>
    <n v="6464.55"/>
    <n v="0.10610328638497653"/>
    <n v="0.76"/>
    <n v="0.12781638239629395"/>
  </r>
  <r>
    <s v="Vendor_05"/>
    <x v="2"/>
    <n v="2022"/>
    <s v="Packaging"/>
    <x v="1"/>
    <n v="1398"/>
    <n v="75.08"/>
    <n v="67.09"/>
    <n v="57"/>
    <s v="Yes"/>
    <n v="0.72027972027972031"/>
    <n v="93791.82"/>
    <n v="11170.02"/>
    <n v="4.07725321888412E-2"/>
    <n v="0.86"/>
    <n v="0.10641981885988272"/>
  </r>
  <r>
    <s v="Vendor_02"/>
    <x v="3"/>
    <n v="2023"/>
    <s v="Packaging"/>
    <x v="1"/>
    <n v="565"/>
    <n v="32.31"/>
    <n v="29.76"/>
    <n v="60"/>
    <s v="Yes"/>
    <n v="0.70512820512820518"/>
    <n v="16814.400000000001"/>
    <n v="1440.75"/>
    <n v="0.10619469026548672"/>
    <n v="0.76"/>
    <n v="7.892293407613743E-2"/>
  </r>
  <r>
    <s v="Vendor_04"/>
    <x v="4"/>
    <n v="2023"/>
    <s v="Packaging"/>
    <x v="3"/>
    <n v="1089"/>
    <n v="102.66"/>
    <n v="89.21"/>
    <n v="33"/>
    <s v="Yes"/>
    <n v="0.10843373493975904"/>
    <n v="97149.69"/>
    <n v="14647.05"/>
    <n v="3.0303030303030304E-2"/>
    <n v="0.98"/>
    <n v="0.13101500097408925"/>
  </r>
  <r>
    <s v="Vendor_03"/>
    <x v="1"/>
    <n v="2023"/>
    <s v="Electronics"/>
    <x v="1"/>
    <n v="841"/>
    <n v="86.43"/>
    <n v="83.77"/>
    <n v="125"/>
    <s v="No"/>
    <n v="0.70175438596491224"/>
    <n v="70450.570000000007"/>
    <n v="2237.06"/>
    <n v="0.14863258026159334"/>
    <n v="0.39"/>
    <n v="3.0776350804119064E-2"/>
  </r>
  <r>
    <s v="Vendor_03"/>
    <x v="1"/>
    <n v="2022"/>
    <s v="Electronics"/>
    <x v="1"/>
    <n v="385"/>
    <n v="18.23"/>
    <n v="17.739999999999998"/>
    <n v="155"/>
    <s v="Yes"/>
    <n v="0.70175438596491224"/>
    <n v="6829.9"/>
    <n v="188.65"/>
    <n v="0.40259740259740262"/>
    <n v="0.61"/>
    <n v="2.6878771256171254E-2"/>
  </r>
  <r>
    <s v="Vendor_04"/>
    <x v="4"/>
    <n v="2022"/>
    <s v="Office Supplies"/>
    <x v="1"/>
    <n v="1832"/>
    <n v="49.01"/>
    <n v="41.86"/>
    <n v="52"/>
    <s v="Yes"/>
    <n v="0.72289156626506024"/>
    <n v="76687.520000000004"/>
    <n v="13098.8"/>
    <n v="2.8384279475982533E-2"/>
    <n v="0.98"/>
    <n v="0.14588859416445621"/>
  </r>
  <r>
    <s v="Vendor_02"/>
    <x v="3"/>
    <n v="2023"/>
    <s v="Raw Materials"/>
    <x v="1"/>
    <n v="307"/>
    <n v="95.36"/>
    <n v="83.63"/>
    <n v="29"/>
    <s v="Yes"/>
    <n v="0.70512820512820518"/>
    <n v="25674.41"/>
    <n v="3601.11"/>
    <n v="9.4462540716612378E-2"/>
    <n v="0.76"/>
    <n v="0.12300755033557051"/>
  </r>
  <r>
    <s v="Vendor_04"/>
    <x v="4"/>
    <n v="2023"/>
    <s v="Office Supplies"/>
    <x v="1"/>
    <n v="546"/>
    <n v="101.2"/>
    <n v="97.82"/>
    <n v="21"/>
    <s v="Yes"/>
    <n v="0.72289156626506024"/>
    <n v="53409.72"/>
    <n v="1845.48"/>
    <n v="3.8461538461538464E-2"/>
    <n v="0.98"/>
    <n v="3.33992094861661E-2"/>
  </r>
  <r>
    <s v="Vendor_03"/>
    <x v="1"/>
    <n v="2023"/>
    <s v="Raw Materials"/>
    <x v="1"/>
    <n v="945"/>
    <n v="57.01"/>
    <n v="55.14"/>
    <n v="147"/>
    <s v="No"/>
    <n v="0.70175438596491224"/>
    <n v="52107.3"/>
    <n v="1767.15"/>
    <n v="0.15555555555555556"/>
    <n v="0.39"/>
    <n v="3.2801262936326916E-2"/>
  </r>
  <r>
    <s v="Vendor_03"/>
    <x v="1"/>
    <n v="2023"/>
    <s v="MRO"/>
    <x v="3"/>
    <n v="209"/>
    <n v="72.709999999999994"/>
    <n v="64.34"/>
    <n v="39"/>
    <s v="Yes"/>
    <n v="9.9415204678362568E-2"/>
    <n v="13447.06"/>
    <n v="1749.33"/>
    <n v="0.18660287081339713"/>
    <n v="0.61"/>
    <n v="0.11511483977444631"/>
  </r>
  <r>
    <s v="Vendor_02"/>
    <x v="3"/>
    <n v="2022"/>
    <s v="Packaging"/>
    <x v="1"/>
    <n v="1548"/>
    <n v="25.03"/>
    <n v="22.87"/>
    <n v="105"/>
    <s v="Yes"/>
    <n v="0.70512820512820518"/>
    <n v="35402.76"/>
    <n v="3343.68"/>
    <n v="6.7829457364341081E-2"/>
    <n v="0.76"/>
    <n v="8.629644426687974E-2"/>
  </r>
  <r>
    <s v="Vendor_03"/>
    <x v="1"/>
    <n v="2023"/>
    <s v="Raw Materials"/>
    <x v="1"/>
    <n v="901"/>
    <n v="108.63"/>
    <n v="106.3"/>
    <n v="141"/>
    <s v="Yes"/>
    <n v="0.70175438596491224"/>
    <n v="95776.3"/>
    <n v="2099.33"/>
    <n v="0.15649278579356271"/>
    <n v="0.61"/>
    <n v="2.1448955168922014E-2"/>
  </r>
  <r>
    <s v="Vendor_04"/>
    <x v="4"/>
    <n v="2023"/>
    <s v="Packaging"/>
    <x v="1"/>
    <n v="1737"/>
    <n v="32.700000000000003"/>
    <n v="31.02"/>
    <n v="48"/>
    <s v="Yes"/>
    <n v="0.72289156626506024"/>
    <n v="53881.74"/>
    <n v="2918.16"/>
    <n v="2.7633851468048358E-2"/>
    <n v="0.98"/>
    <n v="5.1376146788990919E-2"/>
  </r>
  <r>
    <s v="Vendor_02"/>
    <x v="3"/>
    <n v="2023"/>
    <s v="Raw Materials"/>
    <x v="1"/>
    <n v="1981"/>
    <n v="102.43"/>
    <n v="90.99"/>
    <n v="204"/>
    <s v="Yes"/>
    <n v="0.70512820512820518"/>
    <n v="180251.19"/>
    <n v="22662.639999999999"/>
    <n v="0.10297829379101464"/>
    <n v="0.76"/>
    <n v="0.11168602948354985"/>
  </r>
  <r>
    <s v="Vendor_04"/>
    <x v="4"/>
    <n v="2022"/>
    <s v="MRO"/>
    <x v="3"/>
    <n v="739"/>
    <n v="68.47"/>
    <n v="66.09"/>
    <n v="19"/>
    <s v="Yes"/>
    <n v="0.10843373493975904"/>
    <n v="48840.51"/>
    <n v="1758.82"/>
    <n v="2.571041948579161E-2"/>
    <n v="0.98"/>
    <n v="3.4759748795092672E-2"/>
  </r>
  <r>
    <s v="Vendor_02"/>
    <x v="3"/>
    <n v="2022"/>
    <s v="Raw Materials"/>
    <x v="1"/>
    <n v="1748"/>
    <n v="68.25"/>
    <n v="62.84"/>
    <n v="171"/>
    <s v="Yes"/>
    <n v="0.70512820512820518"/>
    <n v="109844.32"/>
    <n v="9456.68"/>
    <n v="9.7826086956521743E-2"/>
    <n v="0.76"/>
    <n v="7.9267399267399216E-2"/>
  </r>
  <r>
    <s v="Vendor_03"/>
    <x v="1"/>
    <n v="2022"/>
    <s v="Office Supplies"/>
    <x v="0"/>
    <n v="429"/>
    <n v="58.95"/>
    <n v="55.35"/>
    <n v="59"/>
    <s v="No"/>
    <n v="9.3567251461988299E-2"/>
    <n v="23745.15"/>
    <n v="1544.4"/>
    <n v="0.13752913752913754"/>
    <n v="0.39"/>
    <n v="6.1068702290076354E-2"/>
  </r>
  <r>
    <s v="Vendor_05"/>
    <x v="2"/>
    <n v="2023"/>
    <s v="Electronics"/>
    <x v="1"/>
    <n v="1618"/>
    <n v="32.76"/>
    <n v="28.41"/>
    <n v="62"/>
    <s v="Yes"/>
    <n v="0.72027972027972031"/>
    <n v="45967.38"/>
    <n v="7038.3"/>
    <n v="3.8318912237330034E-2"/>
    <n v="0.86"/>
    <n v="0.13278388278388273"/>
  </r>
  <r>
    <s v="Vendor_02"/>
    <x v="3"/>
    <n v="2023"/>
    <s v="Packaging"/>
    <x v="1"/>
    <n v="1006"/>
    <n v="27.7"/>
    <n v="23.66"/>
    <n v="101"/>
    <s v="No"/>
    <n v="0.70512820512820518"/>
    <n v="23801.96"/>
    <n v="4064.24"/>
    <n v="0.10039761431411531"/>
    <n v="0.24"/>
    <n v="0.1458483754512635"/>
  </r>
  <r>
    <s v="Vendor_02"/>
    <x v="3"/>
    <n v="2023"/>
    <s v="Electronics"/>
    <x v="2"/>
    <n v="740"/>
    <n v="32.53"/>
    <n v="29.35"/>
    <n v="84"/>
    <s v="Yes"/>
    <n v="8.3333333333333329E-2"/>
    <n v="21719"/>
    <n v="2353.1999999999998"/>
    <n v="0.11351351351351352"/>
    <n v="0.76"/>
    <n v="9.7755917614509677E-2"/>
  </r>
  <r>
    <s v="Vendor_05"/>
    <x v="2"/>
    <n v="2023"/>
    <s v="Raw Materials"/>
    <x v="1"/>
    <n v="1500"/>
    <n v="29.19"/>
    <n v="27.24"/>
    <n v="72"/>
    <s v="Yes"/>
    <n v="0.72027972027972031"/>
    <n v="40860"/>
    <n v="2925"/>
    <n v="4.8000000000000001E-2"/>
    <n v="0.86"/>
    <n v="6.6803699897225177E-2"/>
  </r>
  <r>
    <s v="Vendor_03"/>
    <x v="1"/>
    <n v="2023"/>
    <s v="Office Supplies"/>
    <x v="0"/>
    <n v="1686"/>
    <n v="88.18"/>
    <n v="77.150000000000006"/>
    <n v="155"/>
    <s v="Yes"/>
    <n v="9.3567251461988299E-2"/>
    <n v="130074.9"/>
    <n v="18596.580000000002"/>
    <n v="9.1933570581257409E-2"/>
    <n v="0.61"/>
    <n v="0.12508505330006806"/>
  </r>
  <r>
    <s v="Vendor_04"/>
    <x v="4"/>
    <n v="2022"/>
    <s v="Raw Materials"/>
    <x v="0"/>
    <n v="1341"/>
    <n v="42.96"/>
    <n v="41.75"/>
    <n v="39"/>
    <s v="Yes"/>
    <n v="8.4337349397590355E-2"/>
    <n v="55986.75"/>
    <n v="1622.61"/>
    <n v="2.9082774049217001E-2"/>
    <n v="0.98"/>
    <n v="2.8165735567970224E-2"/>
  </r>
  <r>
    <s v="Vendor_01"/>
    <x v="0"/>
    <n v="2023"/>
    <s v="MRO"/>
    <x v="0"/>
    <n v="1908"/>
    <n v="16.420000000000002"/>
    <n v="15.31"/>
    <n v="36"/>
    <s v="Yes"/>
    <n v="9.2198581560283682E-2"/>
    <n v="29211.48"/>
    <n v="2117.88"/>
    <n v="1.8867924528301886E-2"/>
    <n v="0.94"/>
    <n v="6.7600487210718707E-2"/>
  </r>
  <r>
    <s v="Vendor_05"/>
    <x v="2"/>
    <n v="2022"/>
    <s v="MRO"/>
    <x v="2"/>
    <n v="1650"/>
    <n v="100.62"/>
    <n v="90.45"/>
    <n v="85"/>
    <s v="Yes"/>
    <n v="0.12587412587412589"/>
    <n v="149242.5"/>
    <n v="16780.5"/>
    <n v="5.1515151515151514E-2"/>
    <n v="0.86"/>
    <n v="0.10107334525939178"/>
  </r>
  <r>
    <s v="Vendor_01"/>
    <x v="0"/>
    <n v="2022"/>
    <s v="MRO"/>
    <x v="1"/>
    <n v="1490"/>
    <n v="93.57"/>
    <n v="81.680000000000007"/>
    <n v="29"/>
    <s v="Yes"/>
    <n v="0.75886524822695034"/>
    <n v="121703.2"/>
    <n v="17716.099999999999"/>
    <n v="1.9463087248322148E-2"/>
    <n v="0.94"/>
    <n v="0.1270706422998823"/>
  </r>
  <r>
    <s v="Vendor_03"/>
    <x v="1"/>
    <n v="2023"/>
    <s v="Raw Materials"/>
    <x v="1"/>
    <n v="1241"/>
    <n v="100.04"/>
    <n v="97.56"/>
    <n v="187"/>
    <s v="Yes"/>
    <n v="0.70175438596491224"/>
    <n v="121071.96"/>
    <n v="3077.68"/>
    <n v="0.15068493150684931"/>
    <n v="0.61"/>
    <n v="2.4790083966413475E-2"/>
  </r>
  <r>
    <s v="Vendor_02"/>
    <x v="3"/>
    <n v="2023"/>
    <s v="MRO"/>
    <x v="1"/>
    <n v="1915"/>
    <n v="107.51"/>
    <n v="102.66"/>
    <n v="184"/>
    <s v="Yes"/>
    <n v="0.70512820512820518"/>
    <n v="196593.9"/>
    <n v="9287.75"/>
    <n v="9.608355091383812E-2"/>
    <n v="0.76"/>
    <n v="4.5112082596967799E-2"/>
  </r>
  <r>
    <s v="Vendor_02"/>
    <x v="3"/>
    <n v="2022"/>
    <s v="Raw Materials"/>
    <x v="1"/>
    <n v="1116"/>
    <n v="25.65"/>
    <n v="24.28"/>
    <n v="121"/>
    <s v="Yes"/>
    <n v="0.70512820512820518"/>
    <n v="27096.48"/>
    <n v="1528.92"/>
    <n v="0.10842293906810035"/>
    <n v="0.76"/>
    <n v="5.3411306042884896E-2"/>
  </r>
  <r>
    <s v="Vendor_03"/>
    <x v="1"/>
    <n v="2023"/>
    <s v="Raw Materials"/>
    <x v="1"/>
    <n v="1629"/>
    <n v="48.63"/>
    <n v="43.28"/>
    <n v="260"/>
    <s v="Yes"/>
    <n v="0.70175438596491224"/>
    <n v="70503.12"/>
    <n v="8715.15"/>
    <n v="0.15960712093308779"/>
    <n v="0.61"/>
    <n v="0.11001439440674483"/>
  </r>
  <r>
    <s v="Vendor_04"/>
    <x v="4"/>
    <n v="2022"/>
    <s v="Office Supplies"/>
    <x v="1"/>
    <n v="334"/>
    <n v="82.54"/>
    <n v="74.63"/>
    <n v="33"/>
    <s v="Yes"/>
    <n v="0.72289156626506024"/>
    <n v="24926.42"/>
    <n v="2641.94"/>
    <n v="9.880239520958084E-2"/>
    <n v="0.98"/>
    <n v="9.5832323721831966E-2"/>
  </r>
  <r>
    <s v="Vendor_04"/>
    <x v="4"/>
    <n v="2023"/>
    <s v="Packaging"/>
    <x v="1"/>
    <n v="446"/>
    <n v="80.63"/>
    <n v="70.37"/>
    <n v="33"/>
    <s v="Yes"/>
    <n v="0.72289156626506024"/>
    <n v="31385.02"/>
    <n v="4575.96"/>
    <n v="7.3991031390134535E-2"/>
    <n v="0.98"/>
    <n v="0.12724792260945048"/>
  </r>
  <r>
    <s v="Vendor_03"/>
    <x v="1"/>
    <n v="2023"/>
    <s v="Electronics"/>
    <x v="1"/>
    <n v="61"/>
    <n v="26.47"/>
    <n v="24.62"/>
    <n v="6"/>
    <s v="Yes"/>
    <n v="0.70175438596491224"/>
    <n v="1501.82"/>
    <n v="112.85"/>
    <n v="9.8360655737704916E-2"/>
    <n v="0.61"/>
    <n v="6.9890442009822362E-2"/>
  </r>
  <r>
    <s v="Vendor_03"/>
    <x v="1"/>
    <n v="2023"/>
    <s v="Packaging"/>
    <x v="1"/>
    <n v="1680"/>
    <n v="88.85"/>
    <n v="87.53"/>
    <n v="155"/>
    <s v="Yes"/>
    <n v="0.70175438596491224"/>
    <n v="147050.4"/>
    <n v="2217.6"/>
    <n v="9.2261904761904767E-2"/>
    <n v="0.61"/>
    <n v="1.4856499718626823E-2"/>
  </r>
  <r>
    <s v="Vendor_03"/>
    <x v="1"/>
    <n v="2022"/>
    <s v="Electronics"/>
    <x v="1"/>
    <n v="1375"/>
    <n v="30.95"/>
    <n v="30.02"/>
    <n v="223"/>
    <s v="Yes"/>
    <n v="0.70175438596491224"/>
    <n v="41277.5"/>
    <n v="1278.75"/>
    <n v="0.16218181818181818"/>
    <n v="0.61"/>
    <n v="3.0048465266558959E-2"/>
  </r>
  <r>
    <s v="Vendor_03"/>
    <x v="1"/>
    <n v="2023"/>
    <s v="Electronics"/>
    <x v="2"/>
    <n v="1971"/>
    <n v="32.4"/>
    <n v="30.48"/>
    <n v="321"/>
    <s v="Yes"/>
    <n v="0.10526315789473684"/>
    <n v="60076.08"/>
    <n v="3784.32"/>
    <n v="0.16286149162861491"/>
    <n v="0.61"/>
    <n v="5.9259259259259206E-2"/>
  </r>
  <r>
    <s v="Vendor_03"/>
    <x v="1"/>
    <n v="2022"/>
    <s v="Raw Materials"/>
    <x v="3"/>
    <n v="1326"/>
    <n v="59.49"/>
    <n v="56.21"/>
    <n v="155"/>
    <s v="Yes"/>
    <n v="9.9415204678362568E-2"/>
    <n v="74534.460000000006"/>
    <n v="4349.28"/>
    <n v="0.11689291101055807"/>
    <n v="0.61"/>
    <n v="5.5135316859976483E-2"/>
  </r>
  <r>
    <s v="Vendor_03"/>
    <x v="1"/>
    <n v="2023"/>
    <s v="MRO"/>
    <x v="0"/>
    <n v="548"/>
    <n v="69.7"/>
    <n v="61.87"/>
    <n v="90"/>
    <s v="Yes"/>
    <n v="9.3567251461988299E-2"/>
    <n v="33904.76"/>
    <n v="4290.84"/>
    <n v="0.16423357664233576"/>
    <n v="0.61"/>
    <n v="0.1123385939741751"/>
  </r>
  <r>
    <s v="Vendor_02"/>
    <x v="3"/>
    <n v="2023"/>
    <s v="MRO"/>
    <x v="1"/>
    <n v="803"/>
    <n v="67.81"/>
    <n v="61.53"/>
    <n v="78"/>
    <s v="Yes"/>
    <n v="0.70512820512820518"/>
    <n v="49408.59"/>
    <n v="5042.84"/>
    <n v="9.7135740971357409E-2"/>
    <n v="0.76"/>
    <n v="9.2611709187435498E-2"/>
  </r>
  <r>
    <s v="Vendor_01"/>
    <x v="0"/>
    <n v="2022"/>
    <s v="MRO"/>
    <x v="1"/>
    <n v="84"/>
    <n v="18.23"/>
    <n v="15.55"/>
    <n v="0"/>
    <s v="Yes"/>
    <n v="0.75886524822695034"/>
    <n v="1306.2"/>
    <n v="225.12"/>
    <n v="0"/>
    <n v="0.94"/>
    <n v="0.14701042238069115"/>
  </r>
  <r>
    <s v="Vendor_04"/>
    <x v="4"/>
    <n v="2023"/>
    <s v="Packaging"/>
    <x v="1"/>
    <n v="776"/>
    <n v="94.75"/>
    <n v="90.89"/>
    <n v="19"/>
    <s v="Yes"/>
    <n v="0.72289156626506024"/>
    <n v="70530.64"/>
    <n v="2995.36"/>
    <n v="2.4484536082474227E-2"/>
    <n v="0.98"/>
    <n v="4.0738786279683373E-2"/>
  </r>
  <r>
    <s v="Vendor_01"/>
    <x v="0"/>
    <n v="2023"/>
    <s v="MRO"/>
    <x v="1"/>
    <n v="898"/>
    <n v="37.119999999999997"/>
    <n v="35.54"/>
    <n v="18"/>
    <s v="No"/>
    <n v="0.75886524822695034"/>
    <n v="31914.92"/>
    <n v="1418.84"/>
    <n v="2.0044543429844099E-2"/>
    <n v="0.06"/>
    <n v="4.256465517241375E-2"/>
  </r>
  <r>
    <s v="Vendor_02"/>
    <x v="3"/>
    <n v="2023"/>
    <s v="Office Supplies"/>
    <x v="0"/>
    <n v="139"/>
    <n v="23.71"/>
    <n v="20.18"/>
    <n v="14"/>
    <s v="Yes"/>
    <n v="8.9743589743589744E-2"/>
    <n v="2805.02"/>
    <n v="490.67"/>
    <n v="0.10071942446043165"/>
    <n v="0.76"/>
    <n v="0.14888232813159008"/>
  </r>
  <r>
    <s v="Vendor_05"/>
    <x v="2"/>
    <n v="2023"/>
    <s v="Raw Materials"/>
    <x v="1"/>
    <n v="825"/>
    <n v="99.89"/>
    <n v="97.65"/>
    <n v="30"/>
    <s v="Yes"/>
    <n v="0.72027972027972031"/>
    <n v="80561.25"/>
    <n v="1848"/>
    <n v="3.6363636363636362E-2"/>
    <n v="0.86"/>
    <n v="2.2424667133847182E-2"/>
  </r>
  <r>
    <s v="Vendor_01"/>
    <x v="0"/>
    <n v="2022"/>
    <s v="MRO"/>
    <x v="1"/>
    <n v="654"/>
    <n v="96.01"/>
    <n v="90.31"/>
    <n v="10"/>
    <s v="Yes"/>
    <n v="0.75886524822695034"/>
    <n v="59062.74"/>
    <n v="3727.8"/>
    <n v="1.5290519877675841E-2"/>
    <n v="0.94"/>
    <n v="5.9368815748359574E-2"/>
  </r>
  <r>
    <s v="Vendor_05"/>
    <x v="2"/>
    <n v="2022"/>
    <s v="MRO"/>
    <x v="1"/>
    <n v="1995"/>
    <n v="88.47"/>
    <n v="82.65"/>
    <n v="87"/>
    <s v="No"/>
    <n v="0.72027972027972031"/>
    <n v="164886.75"/>
    <n v="11610.9"/>
    <n v="4.3609022556390979E-2"/>
    <n v="0.14000000000000001"/>
    <n v="6.5785011868429902E-2"/>
  </r>
  <r>
    <s v="Vendor_02"/>
    <x v="3"/>
    <n v="2023"/>
    <s v="MRO"/>
    <x v="1"/>
    <n v="1019"/>
    <n v="91.56"/>
    <n v="77.930000000000007"/>
    <n v="111"/>
    <s v="No"/>
    <n v="0.70512820512820518"/>
    <n v="79410.67"/>
    <n v="13888.97"/>
    <n v="0.10893032384690873"/>
    <n v="0.24"/>
    <n v="0.14886413280908689"/>
  </r>
  <r>
    <s v="Vendor_04"/>
    <x v="4"/>
    <n v="2023"/>
    <s v="Packaging"/>
    <x v="3"/>
    <n v="1675"/>
    <n v="73.8"/>
    <n v="65.34"/>
    <n v="42"/>
    <s v="Yes"/>
    <n v="0.10843373493975904"/>
    <n v="109444.5"/>
    <n v="14170.5"/>
    <n v="2.5074626865671641E-2"/>
    <n v="0.98"/>
    <n v="0.11463414634146334"/>
  </r>
  <r>
    <s v="Vendor_05"/>
    <x v="2"/>
    <n v="2022"/>
    <s v="Raw Materials"/>
    <x v="3"/>
    <n v="1071"/>
    <n v="60.77"/>
    <n v="58.5"/>
    <n v="55"/>
    <s v="Yes"/>
    <n v="0.11188811188811189"/>
    <n v="62653.5"/>
    <n v="2431.17"/>
    <n v="5.1353874883286646E-2"/>
    <n v="0.86"/>
    <n v="3.7353957544841256E-2"/>
  </r>
  <r>
    <s v="Vendor_02"/>
    <x v="3"/>
    <n v="2023"/>
    <s v="Office Supplies"/>
    <x v="1"/>
    <n v="467"/>
    <n v="19.170000000000002"/>
    <n v="17.11"/>
    <n v="49"/>
    <s v="Yes"/>
    <n v="0.70512820512820518"/>
    <n v="7990.37"/>
    <n v="962.02"/>
    <n v="0.10492505353319058"/>
    <n v="0.76"/>
    <n v="0.10745957224830475"/>
  </r>
  <r>
    <s v="Vendor_03"/>
    <x v="1"/>
    <n v="2022"/>
    <s v="MRO"/>
    <x v="3"/>
    <n v="164"/>
    <n v="48.16"/>
    <n v="47.46"/>
    <n v="27"/>
    <s v="Yes"/>
    <n v="9.9415204678362568E-2"/>
    <n v="7783.44"/>
    <n v="114.8"/>
    <n v="0.16463414634146342"/>
    <n v="0.61"/>
    <n v="1.4534883720930146E-2"/>
  </r>
  <r>
    <s v="Vendor_04"/>
    <x v="4"/>
    <n v="2022"/>
    <s v="Electronics"/>
    <x v="0"/>
    <n v="666"/>
    <n v="43.76"/>
    <n v="41.13"/>
    <n v="18"/>
    <s v="Yes"/>
    <n v="8.4337349397590355E-2"/>
    <n v="27392.58"/>
    <n v="1751.58"/>
    <n v="2.7027027027027029E-2"/>
    <n v="0.98"/>
    <n v="6.0100548446069366E-2"/>
  </r>
  <r>
    <s v="Vendor_03"/>
    <x v="1"/>
    <n v="2022"/>
    <s v="Packaging"/>
    <x v="2"/>
    <n v="1976"/>
    <n v="34.71"/>
    <n v="31.56"/>
    <n v="286"/>
    <s v="No"/>
    <n v="0.10526315789473684"/>
    <n v="62362.559999999998"/>
    <n v="6224.4"/>
    <n v="0.14473684210526316"/>
    <n v="0.39"/>
    <n v="9.0751944684529018E-2"/>
  </r>
  <r>
    <s v="Vendor_04"/>
    <x v="4"/>
    <n v="2023"/>
    <s v="MRO"/>
    <x v="1"/>
    <n v="1269"/>
    <n v="79.61"/>
    <n v="71.86"/>
    <n v="47"/>
    <s v="Yes"/>
    <n v="0.72289156626506024"/>
    <n v="91190.34"/>
    <n v="9834.75"/>
    <n v="3.7037037037037035E-2"/>
    <n v="0.98"/>
    <n v="9.7349579198593147E-2"/>
  </r>
  <r>
    <s v="Vendor_04"/>
    <x v="4"/>
    <n v="2022"/>
    <s v="MRO"/>
    <x v="1"/>
    <n v="875"/>
    <n v="57.63"/>
    <n v="51.8"/>
    <n v="16"/>
    <s v="Yes"/>
    <n v="0.72289156626506024"/>
    <n v="45325"/>
    <n v="5101.25"/>
    <n v="1.8285714285714287E-2"/>
    <n v="0.98"/>
    <n v="0.10116258892937716"/>
  </r>
  <r>
    <s v="Vendor_01"/>
    <x v="0"/>
    <n v="2022"/>
    <s v="Packaging"/>
    <x v="2"/>
    <n v="1574"/>
    <n v="17.899999999999999"/>
    <n v="15.85"/>
    <n v="31"/>
    <s v="Yes"/>
    <n v="7.0921985815602842E-2"/>
    <n v="24947.9"/>
    <n v="3226.7"/>
    <n v="1.9695044472681066E-2"/>
    <n v="0.94"/>
    <n v="0.11452513966480442"/>
  </r>
  <r>
    <s v="Vendor_04"/>
    <x v="4"/>
    <n v="2023"/>
    <s v="Office Supplies"/>
    <x v="2"/>
    <n v="1699"/>
    <n v="32.049999999999997"/>
    <n v="29.34"/>
    <n v="69"/>
    <s v="Yes"/>
    <n v="8.4337349397590355E-2"/>
    <n v="49848.66"/>
    <n v="4604.29"/>
    <n v="4.061212477928193E-2"/>
    <n v="0.98"/>
    <n v="8.4555382215288535E-2"/>
  </r>
  <r>
    <s v="Vendor_01"/>
    <x v="0"/>
    <n v="2022"/>
    <s v="Electronics"/>
    <x v="1"/>
    <n v="1566"/>
    <n v="75.430000000000007"/>
    <n v="71.27"/>
    <n v="27"/>
    <s v="Yes"/>
    <n v="0.75886524822695034"/>
    <n v="111608.82"/>
    <n v="6514.56"/>
    <n v="1.7241379310344827E-2"/>
    <n v="0.94"/>
    <n v="5.515047063502599E-2"/>
  </r>
  <r>
    <s v="Vendor_05"/>
    <x v="2"/>
    <n v="2022"/>
    <s v="Electronics"/>
    <x v="1"/>
    <n v="1148"/>
    <n v="17.78"/>
    <n v="17.16"/>
    <n v="61"/>
    <s v="Yes"/>
    <n v="0.72027972027972031"/>
    <n v="19699.68"/>
    <n v="711.76"/>
    <n v="5.3135888501742161E-2"/>
    <n v="0.86"/>
    <n v="3.4870641169853819E-2"/>
  </r>
  <r>
    <s v="Vendor_04"/>
    <x v="4"/>
    <n v="2023"/>
    <s v="Office Supplies"/>
    <x v="1"/>
    <n v="462"/>
    <n v="91.81"/>
    <n v="83.14"/>
    <n v="11"/>
    <s v="Yes"/>
    <n v="0.72289156626506024"/>
    <n v="38410.68"/>
    <n v="4005.54"/>
    <n v="2.3809523809523808E-2"/>
    <n v="0.98"/>
    <n v="9.4434157499183116E-2"/>
  </r>
  <r>
    <s v="Vendor_05"/>
    <x v="2"/>
    <n v="2022"/>
    <s v="Packaging"/>
    <x v="1"/>
    <n v="1449"/>
    <n v="57.02"/>
    <n v="49.28"/>
    <n v="71"/>
    <s v="Yes"/>
    <n v="0.72027972027972031"/>
    <n v="71406.720000000001"/>
    <n v="11215.26"/>
    <n v="4.8999309868875088E-2"/>
    <n v="0.86"/>
    <n v="0.13574184496667838"/>
  </r>
  <r>
    <s v="Vendor_04"/>
    <x v="4"/>
    <n v="2023"/>
    <s v="MRO"/>
    <x v="1"/>
    <n v="1493"/>
    <n v="56.98"/>
    <n v="52.51"/>
    <n v="43"/>
    <s v="Yes"/>
    <n v="0.72289156626506024"/>
    <n v="78397.429999999993"/>
    <n v="6673.71"/>
    <n v="2.8801071667782986E-2"/>
    <n v="0.98"/>
    <n v="7.8448578448578429E-2"/>
  </r>
  <r>
    <s v="Vendor_01"/>
    <x v="0"/>
    <n v="2022"/>
    <s v="Office Supplies"/>
    <x v="1"/>
    <n v="778"/>
    <n v="65.849999999999994"/>
    <n v="62.08"/>
    <n v="24"/>
    <s v="No"/>
    <n v="0.75886524822695034"/>
    <n v="48298.239999999998"/>
    <n v="2933.06"/>
    <n v="3.0848329048843187E-2"/>
    <n v="0.06"/>
    <n v="5.7251328777524625E-2"/>
  </r>
  <r>
    <s v="Vendor_03"/>
    <x v="1"/>
    <n v="2022"/>
    <s v="Packaging"/>
    <x v="2"/>
    <n v="1350"/>
    <n v="85.06"/>
    <n v="82.34"/>
    <n v="155"/>
    <s v="No"/>
    <n v="0.10526315789473684"/>
    <n v="111159"/>
    <n v="3672"/>
    <n v="0.11481481481481481"/>
    <n v="0.39"/>
    <n v="3.1977427698095445E-2"/>
  </r>
  <r>
    <s v="Vendor_04"/>
    <x v="4"/>
    <n v="2023"/>
    <s v="Packaging"/>
    <x v="1"/>
    <n v="1070"/>
    <n v="44.4"/>
    <n v="40.07"/>
    <n v="26"/>
    <s v="Yes"/>
    <n v="0.72289156626506024"/>
    <n v="42874.9"/>
    <n v="4633.1000000000004"/>
    <n v="2.4299065420560748E-2"/>
    <n v="0.98"/>
    <n v="9.7522522522522484E-2"/>
  </r>
  <r>
    <s v="Vendor_02"/>
    <x v="3"/>
    <n v="2022"/>
    <s v="Packaging"/>
    <x v="3"/>
    <n v="810"/>
    <n v="71.02"/>
    <n v="66.8"/>
    <n v="73"/>
    <s v="Yes"/>
    <n v="0.12179487179487179"/>
    <n v="54108"/>
    <n v="3418.2"/>
    <n v="9.0123456790123457E-2"/>
    <n v="0.76"/>
    <n v="5.9419881723458169E-2"/>
  </r>
  <r>
    <s v="Vendor_03"/>
    <x v="1"/>
    <n v="2023"/>
    <s v="Packaging"/>
    <x v="0"/>
    <n v="725"/>
    <n v="66.400000000000006"/>
    <n v="62.1"/>
    <n v="118"/>
    <s v="Yes"/>
    <n v="9.3567251461988299E-2"/>
    <n v="45022.5"/>
    <n v="3117.5"/>
    <n v="0.16275862068965516"/>
    <n v="0.61"/>
    <n v="6.4759036144578369E-2"/>
  </r>
  <r>
    <s v="Vendor_01"/>
    <x v="0"/>
    <n v="2022"/>
    <s v="Electronics"/>
    <x v="1"/>
    <n v="1467"/>
    <n v="34.200000000000003"/>
    <n v="30.5"/>
    <n v="25"/>
    <s v="Yes"/>
    <n v="0.75886524822695034"/>
    <n v="44743.5"/>
    <n v="5427.9"/>
    <n v="1.7041581458759374E-2"/>
    <n v="0.94"/>
    <n v="0.10818713450292405"/>
  </r>
  <r>
    <s v="Vendor_02"/>
    <x v="3"/>
    <n v="2022"/>
    <s v="Packaging"/>
    <x v="1"/>
    <n v="1942"/>
    <n v="93.98"/>
    <n v="81.31"/>
    <n v="198"/>
    <s v="Yes"/>
    <n v="0.70512820512820518"/>
    <n v="157904.01999999999"/>
    <n v="24605.14"/>
    <n v="0.101956745623069"/>
    <n v="0.76"/>
    <n v="0.13481591828048523"/>
  </r>
  <r>
    <s v="Vendor_05"/>
    <x v="2"/>
    <n v="2022"/>
    <s v="Office Supplies"/>
    <x v="1"/>
    <n v="506"/>
    <n v="84.63"/>
    <n v="72.69"/>
    <n v="20"/>
    <s v="Yes"/>
    <n v="0.72027972027972031"/>
    <n v="36781.14"/>
    <n v="6041.64"/>
    <n v="3.9525691699604744E-2"/>
    <n v="0.86"/>
    <n v="0.14108472172988301"/>
  </r>
  <r>
    <s v="Vendor_01"/>
    <x v="0"/>
    <n v="2023"/>
    <s v="MRO"/>
    <x v="1"/>
    <n v="969"/>
    <n v="76.53"/>
    <n v="75.64"/>
    <n v="30"/>
    <s v="Yes"/>
    <n v="0.75886524822695034"/>
    <n v="73295.16"/>
    <n v="862.41"/>
    <n v="3.0959752321981424E-2"/>
    <n v="0.94"/>
    <n v="1.162942636874429E-2"/>
  </r>
  <r>
    <s v="Vendor_03"/>
    <x v="1"/>
    <n v="2022"/>
    <s v="MRO"/>
    <x v="1"/>
    <n v="241"/>
    <n v="87.42"/>
    <n v="82.15"/>
    <n v="155"/>
    <s v="Yes"/>
    <n v="0.70175438596491224"/>
    <n v="19798.150000000001"/>
    <n v="1270.07"/>
    <n v="0.6431535269709544"/>
    <n v="0.61"/>
    <n v="6.0283687943262367E-2"/>
  </r>
  <r>
    <s v="Vendor_05"/>
    <x v="2"/>
    <n v="2023"/>
    <s v="Raw Materials"/>
    <x v="1"/>
    <n v="788"/>
    <n v="97.3"/>
    <n v="94.44"/>
    <n v="32"/>
    <s v="Yes"/>
    <n v="0.72027972027972031"/>
    <n v="74418.720000000001"/>
    <n v="2253.6799999999998"/>
    <n v="4.060913705583756E-2"/>
    <n v="0.86"/>
    <n v="2.9393627954779029E-2"/>
  </r>
  <r>
    <s v="Vendor_05"/>
    <x v="2"/>
    <n v="2022"/>
    <s v="Office Supplies"/>
    <x v="1"/>
    <n v="1762"/>
    <n v="74.12"/>
    <n v="65.709999999999994"/>
    <n v="94"/>
    <s v="Yes"/>
    <n v="0.72027972027972031"/>
    <n v="115781.02"/>
    <n v="14818.42"/>
    <n v="5.3348467650397274E-2"/>
    <n v="0.86"/>
    <n v="0.11346465191581233"/>
  </r>
  <r>
    <s v="Vendor_01"/>
    <x v="0"/>
    <n v="2022"/>
    <s v="Raw Materials"/>
    <x v="3"/>
    <n v="1172"/>
    <n v="85.76"/>
    <n v="81.430000000000007"/>
    <n v="25"/>
    <s v="Yes"/>
    <n v="7.8014184397163122E-2"/>
    <n v="95435.96"/>
    <n v="5074.76"/>
    <n v="2.1331058020477817E-2"/>
    <n v="0.94"/>
    <n v="5.0489738805970123E-2"/>
  </r>
  <r>
    <s v="Vendor_03"/>
    <x v="1"/>
    <n v="2022"/>
    <s v="Office Supplies"/>
    <x v="1"/>
    <n v="1621"/>
    <n v="75.680000000000007"/>
    <n v="73.78"/>
    <n v="226"/>
    <s v="No"/>
    <n v="0.70175438596491224"/>
    <n v="119597.38"/>
    <n v="3079.9"/>
    <n v="0.13942011104256632"/>
    <n v="0.39"/>
    <n v="2.5105708245243202E-2"/>
  </r>
  <r>
    <s v="Vendor_01"/>
    <x v="0"/>
    <n v="2022"/>
    <s v="Packaging"/>
    <x v="1"/>
    <n v="1027"/>
    <n v="73.349999999999994"/>
    <n v="65.42"/>
    <n v="24"/>
    <s v="No"/>
    <n v="0.75886524822695034"/>
    <n v="67186.34"/>
    <n v="8144.11"/>
    <n v="2.3369036027263874E-2"/>
    <n v="0.06"/>
    <n v="0.10811179277436937"/>
  </r>
  <r>
    <s v="Vendor_02"/>
    <x v="3"/>
    <n v="2022"/>
    <s v="Raw Materials"/>
    <x v="1"/>
    <n v="1058"/>
    <n v="65.680000000000007"/>
    <n v="57.21"/>
    <n v="101"/>
    <s v="Yes"/>
    <n v="0.70512820512820518"/>
    <n v="60528.18"/>
    <n v="8961.26"/>
    <n v="9.5463137996219277E-2"/>
    <n v="0.76"/>
    <n v="0.12895858708891603"/>
  </r>
  <r>
    <s v="Vendor_02"/>
    <x v="3"/>
    <n v="2023"/>
    <s v="Packaging"/>
    <x v="1"/>
    <n v="145"/>
    <n v="85.52"/>
    <n v="81.86"/>
    <n v="11"/>
    <s v="No"/>
    <n v="0.70512820512820518"/>
    <n v="11869.7"/>
    <n v="530.70000000000005"/>
    <n v="7.586206896551724E-2"/>
    <n v="0.24"/>
    <n v="4.279700654817583E-2"/>
  </r>
  <r>
    <s v="Vendor_04"/>
    <x v="4"/>
    <n v="2022"/>
    <s v="Office Supplies"/>
    <x v="1"/>
    <n v="1737"/>
    <n v="24.88"/>
    <n v="24.28"/>
    <n v="46"/>
    <s v="Yes"/>
    <n v="0.72289156626506024"/>
    <n v="42174.36"/>
    <n v="1042.2"/>
    <n v="2.6482440990213012E-2"/>
    <n v="0.98"/>
    <n v="2.4115755627009561E-2"/>
  </r>
  <r>
    <s v="Vendor_05"/>
    <x v="2"/>
    <n v="2022"/>
    <s v="Electronics"/>
    <x v="1"/>
    <n v="712"/>
    <n v="92.85"/>
    <n v="89.39"/>
    <n v="43"/>
    <s v="Yes"/>
    <n v="0.72027972027972031"/>
    <n v="63645.68"/>
    <n v="2463.52"/>
    <n v="6.0393258426966294E-2"/>
    <n v="0.86"/>
    <n v="3.7264404954227184E-2"/>
  </r>
  <r>
    <s v="Vendor_04"/>
    <x v="4"/>
    <n v="2022"/>
    <s v="Electronics"/>
    <x v="1"/>
    <n v="1263"/>
    <n v="90.24"/>
    <n v="86.84"/>
    <n v="28"/>
    <s v="Yes"/>
    <n v="0.72289156626506024"/>
    <n v="109678.92"/>
    <n v="4294.2"/>
    <n v="2.2169437846397466E-2"/>
    <n v="0.98"/>
    <n v="3.7677304964538916E-2"/>
  </r>
  <r>
    <s v="Vendor_03"/>
    <x v="1"/>
    <n v="2023"/>
    <s v="Electronics"/>
    <x v="1"/>
    <n v="1809"/>
    <n v="13.58"/>
    <n v="12.68"/>
    <n v="155"/>
    <s v="No"/>
    <n v="0.70175438596491224"/>
    <n v="22938.12"/>
    <n v="1628.1"/>
    <n v="8.5682697622996129E-2"/>
    <n v="0.39"/>
    <n v="6.6273932253313725E-2"/>
  </r>
  <r>
    <s v="Vendor_02"/>
    <x v="3"/>
    <n v="2023"/>
    <s v="Electronics"/>
    <x v="0"/>
    <n v="86"/>
    <n v="93.6"/>
    <n v="88.22"/>
    <n v="5"/>
    <s v="Yes"/>
    <n v="8.9743589743589744E-2"/>
    <n v="7586.92"/>
    <n v="462.68"/>
    <n v="5.8139534883720929E-2"/>
    <n v="0.76"/>
    <n v="5.7478632478632434E-2"/>
  </r>
  <r>
    <s v="Vendor_04"/>
    <x v="4"/>
    <n v="2022"/>
    <s v="MRO"/>
    <x v="1"/>
    <n v="1853"/>
    <n v="21.92"/>
    <n v="20.72"/>
    <n v="33"/>
    <s v="Yes"/>
    <n v="0.72289156626506024"/>
    <n v="38394.160000000003"/>
    <n v="2223.6"/>
    <n v="1.7808958445763627E-2"/>
    <n v="0.98"/>
    <n v="5.4744525547445383E-2"/>
  </r>
  <r>
    <s v="Vendor_02"/>
    <x v="3"/>
    <n v="2023"/>
    <s v="Electronics"/>
    <x v="1"/>
    <n v="1442"/>
    <n v="43.98"/>
    <n v="41.82"/>
    <n v="140"/>
    <s v="No"/>
    <n v="0.70512820512820518"/>
    <n v="60304.44"/>
    <n v="3114.72"/>
    <n v="9.7087378640776698E-2"/>
    <n v="0.24"/>
    <n v="4.9113233287858042E-2"/>
  </r>
  <r>
    <s v="Vendor_02"/>
    <x v="3"/>
    <n v="2022"/>
    <s v="Office Supplies"/>
    <x v="3"/>
    <n v="1768"/>
    <n v="79.61"/>
    <n v="74.97"/>
    <n v="207"/>
    <s v="No"/>
    <n v="0.12179487179487179"/>
    <n v="132546.96"/>
    <n v="8203.52"/>
    <n v="0.11708144796380091"/>
    <n v="0.24"/>
    <n v="5.8284135158899644E-2"/>
  </r>
  <r>
    <s v="Vendor_02"/>
    <x v="3"/>
    <n v="2023"/>
    <s v="Electronics"/>
    <x v="2"/>
    <n v="1598"/>
    <n v="26.3"/>
    <n v="26.03"/>
    <n v="154"/>
    <s v="No"/>
    <n v="8.3333333333333329E-2"/>
    <n v="41595.94"/>
    <n v="431.46"/>
    <n v="9.6370463078848556E-2"/>
    <n v="0.24"/>
    <n v="1.0266159695817473E-2"/>
  </r>
  <r>
    <s v="Vendor_01"/>
    <x v="0"/>
    <n v="2023"/>
    <s v="MRO"/>
    <x v="0"/>
    <n v="328"/>
    <n v="93.23"/>
    <n v="82.63"/>
    <n v="6"/>
    <s v="Yes"/>
    <n v="9.2198581560283682E-2"/>
    <n v="27102.639999999999"/>
    <n v="3476.8"/>
    <n v="1.8292682926829267E-2"/>
    <n v="0.94"/>
    <n v="0.11369730773356225"/>
  </r>
  <r>
    <s v="Vendor_04"/>
    <x v="4"/>
    <n v="2022"/>
    <s v="Packaging"/>
    <x v="1"/>
    <n v="266"/>
    <n v="88.29"/>
    <n v="80.22"/>
    <n v="4"/>
    <s v="Yes"/>
    <n v="0.72289156626506024"/>
    <n v="21338.52"/>
    <n v="2146.62"/>
    <n v="1.5037593984962405E-2"/>
    <n v="0.98"/>
    <n v="9.1403329935440106E-2"/>
  </r>
  <r>
    <s v="Vendor_05"/>
    <x v="2"/>
    <n v="2023"/>
    <s v="Raw Materials"/>
    <x v="1"/>
    <n v="916"/>
    <n v="59.01"/>
    <n v="53.37"/>
    <n v="47"/>
    <s v="Yes"/>
    <n v="0.72027972027972031"/>
    <n v="48886.92"/>
    <n v="5166.24"/>
    <n v="5.1310043668122272E-2"/>
    <n v="0.86"/>
    <n v="9.5577020843924776E-2"/>
  </r>
  <r>
    <s v="Vendor_04"/>
    <x v="4"/>
    <n v="2022"/>
    <s v="Packaging"/>
    <x v="0"/>
    <n v="922"/>
    <n v="10.84"/>
    <n v="9.27"/>
    <n v="29"/>
    <s v="Yes"/>
    <n v="8.4337349397590355E-2"/>
    <n v="8546.94"/>
    <n v="1447.54"/>
    <n v="3.1453362255965296E-2"/>
    <n v="0.98"/>
    <n v="0.14483394833948343"/>
  </r>
  <r>
    <s v="Vendor_05"/>
    <x v="2"/>
    <n v="2023"/>
    <s v="Packaging"/>
    <x v="1"/>
    <n v="1871"/>
    <n v="39.42"/>
    <n v="37.409999999999997"/>
    <n v="101"/>
    <s v="No"/>
    <n v="0.72027972027972031"/>
    <n v="69994.11"/>
    <n v="3760.71"/>
    <n v="5.3981827899518976E-2"/>
    <n v="0.14000000000000001"/>
    <n v="5.0989345509893584E-2"/>
  </r>
  <r>
    <s v="Vendor_04"/>
    <x v="4"/>
    <n v="2023"/>
    <s v="Raw Materials"/>
    <x v="1"/>
    <n v="1346"/>
    <n v="72.08"/>
    <n v="67.040000000000006"/>
    <n v="38"/>
    <s v="Yes"/>
    <n v="0.72289156626506024"/>
    <n v="90235.839999999997"/>
    <n v="6783.84"/>
    <n v="2.8231797919762259E-2"/>
    <n v="0.98"/>
    <n v="6.9922308546059825E-2"/>
  </r>
  <r>
    <s v="Vendor_04"/>
    <x v="4"/>
    <n v="2022"/>
    <s v="Electronics"/>
    <x v="1"/>
    <n v="1954"/>
    <n v="99.78"/>
    <n v="87.47"/>
    <n v="57"/>
    <s v="Yes"/>
    <n v="0.72289156626506024"/>
    <n v="170916.38"/>
    <n v="24053.74"/>
    <n v="2.9170931422722621E-2"/>
    <n v="0.98"/>
    <n v="0.12337141711765887"/>
  </r>
  <r>
    <s v="Vendor_02"/>
    <x v="3"/>
    <n v="2022"/>
    <s v="Electronics"/>
    <x v="1"/>
    <n v="111"/>
    <n v="68.53"/>
    <n v="65.22"/>
    <n v="11"/>
    <s v="Yes"/>
    <n v="0.70512820512820518"/>
    <n v="7239.42"/>
    <n v="367.41"/>
    <n v="9.90990990990991E-2"/>
    <n v="0.76"/>
    <n v="4.8300014592149457E-2"/>
  </r>
  <r>
    <s v="Vendor_05"/>
    <x v="2"/>
    <n v="2022"/>
    <s v="Office Supplies"/>
    <x v="3"/>
    <n v="645"/>
    <n v="35.049999999999997"/>
    <n v="30.88"/>
    <n v="27"/>
    <s v="Yes"/>
    <n v="0.11188811188811189"/>
    <n v="19917.599999999999"/>
    <n v="2689.65"/>
    <n v="4.1860465116279069E-2"/>
    <n v="0.86"/>
    <n v="0.11897289586305274"/>
  </r>
  <r>
    <s v="Vendor_05"/>
    <x v="2"/>
    <n v="2022"/>
    <s v="Electronics"/>
    <x v="0"/>
    <n v="1953"/>
    <n v="68.069999999999993"/>
    <n v="62.95"/>
    <n v="87"/>
    <s v="Yes"/>
    <n v="4.195804195804196E-2"/>
    <n v="122941.35"/>
    <n v="9999.36"/>
    <n v="4.4546850998463901E-2"/>
    <n v="0.86"/>
    <n v="7.5216688702805803E-2"/>
  </r>
  <r>
    <s v="Vendor_05"/>
    <x v="2"/>
    <n v="2023"/>
    <s v="Electronics"/>
    <x v="1"/>
    <n v="778"/>
    <n v="64.17"/>
    <n v="61.6"/>
    <n v="47"/>
    <s v="Yes"/>
    <n v="0.72027972027972031"/>
    <n v="47924.800000000003"/>
    <n v="1999.46"/>
    <n v="6.0411311053984576E-2"/>
    <n v="0.86"/>
    <n v="4.004986753934861E-2"/>
  </r>
  <r>
    <s v="Vendor_04"/>
    <x v="4"/>
    <n v="2022"/>
    <s v="Office Supplies"/>
    <x v="1"/>
    <n v="1415"/>
    <n v="80.19"/>
    <n v="78.34"/>
    <n v="33"/>
    <s v="Yes"/>
    <n v="0.72289156626506024"/>
    <n v="110851.1"/>
    <n v="2617.75"/>
    <n v="2.3321554770318022E-2"/>
    <n v="0.98"/>
    <n v="2.3070208255393371E-2"/>
  </r>
  <r>
    <s v="Vendor_05"/>
    <x v="2"/>
    <n v="2022"/>
    <s v="Raw Materials"/>
    <x v="1"/>
    <n v="446"/>
    <n v="20.61"/>
    <n v="19.46"/>
    <n v="14"/>
    <s v="Yes"/>
    <n v="0.72027972027972031"/>
    <n v="8679.16"/>
    <n v="512.9"/>
    <n v="3.1390134529147982E-2"/>
    <n v="0.86"/>
    <n v="5.5798156234837387E-2"/>
  </r>
  <r>
    <s v="Vendor_04"/>
    <x v="4"/>
    <n v="2023"/>
    <s v="Office Supplies"/>
    <x v="1"/>
    <n v="748"/>
    <n v="85.95"/>
    <n v="79.16"/>
    <n v="32"/>
    <s v="Yes"/>
    <n v="0.72289156626506024"/>
    <n v="59211.68"/>
    <n v="5078.92"/>
    <n v="4.2780748663101602E-2"/>
    <n v="0.98"/>
    <n v="7.8999418266434043E-2"/>
  </r>
  <r>
    <s v="Vendor_01"/>
    <x v="0"/>
    <n v="2023"/>
    <s v="Electronics"/>
    <x v="3"/>
    <n v="1092"/>
    <n v="65.17"/>
    <n v="63.11"/>
    <n v="21"/>
    <s v="Yes"/>
    <n v="7.8014184397163122E-2"/>
    <n v="68916.12"/>
    <n v="2249.52"/>
    <n v="1.9230769230769232E-2"/>
    <n v="0.94"/>
    <n v="3.1609636335737337E-2"/>
  </r>
  <r>
    <s v="Vendor_02"/>
    <x v="3"/>
    <n v="2023"/>
    <s v="Electronics"/>
    <x v="1"/>
    <n v="226"/>
    <n v="102.47"/>
    <n v="99.16"/>
    <n v="28"/>
    <s v="Yes"/>
    <n v="0.70512820512820518"/>
    <n v="22410.16"/>
    <n v="748.06"/>
    <n v="0.12389380530973451"/>
    <n v="0.76"/>
    <n v="3.2302137210891015E-2"/>
  </r>
  <r>
    <s v="Vendor_03"/>
    <x v="1"/>
    <n v="2023"/>
    <s v="Electronics"/>
    <x v="1"/>
    <n v="1685"/>
    <n v="43.42"/>
    <n v="42.24"/>
    <n v="262"/>
    <s v="Yes"/>
    <n v="0.70175438596491224"/>
    <n v="71174.399999999994"/>
    <n v="1988.3"/>
    <n v="0.15548961424332344"/>
    <n v="0.61"/>
    <n v="2.7176416397973278E-2"/>
  </r>
  <r>
    <s v="Vendor_01"/>
    <x v="0"/>
    <n v="2022"/>
    <s v="Office Supplies"/>
    <x v="1"/>
    <n v="445"/>
    <n v="68.94"/>
    <n v="60.35"/>
    <n v="7"/>
    <s v="Yes"/>
    <n v="0.75886524822695034"/>
    <n v="26855.75"/>
    <n v="3822.55"/>
    <n v="1.5730337078651686E-2"/>
    <n v="0.94"/>
    <n v="0.12460110240789087"/>
  </r>
  <r>
    <s v="Vendor_05"/>
    <x v="2"/>
    <n v="2022"/>
    <s v="Raw Materials"/>
    <x v="1"/>
    <n v="494"/>
    <n v="94.82"/>
    <n v="81.89"/>
    <n v="29"/>
    <s v="Yes"/>
    <n v="0.72027972027972031"/>
    <n v="40453.660000000003"/>
    <n v="6387.42"/>
    <n v="5.8704453441295545E-2"/>
    <n v="0.86"/>
    <n v="0.1363636363636363"/>
  </r>
  <r>
    <s v="Vendor_02"/>
    <x v="3"/>
    <n v="2023"/>
    <s v="MRO"/>
    <x v="1"/>
    <n v="1306"/>
    <n v="21.05"/>
    <n v="18.27"/>
    <n v="128"/>
    <s v="Yes"/>
    <n v="0.70512820512820518"/>
    <n v="23860.62"/>
    <n v="3630.68"/>
    <n v="9.8009188361408886E-2"/>
    <n v="0.76"/>
    <n v="0.13206650831353925"/>
  </r>
  <r>
    <s v="Vendor_02"/>
    <x v="3"/>
    <n v="2023"/>
    <s v="Office Supplies"/>
    <x v="1"/>
    <n v="1988"/>
    <n v="105.2"/>
    <n v="93.23"/>
    <n v="187"/>
    <s v="Yes"/>
    <n v="0.70512820512820518"/>
    <n v="185341.24"/>
    <n v="23796.36"/>
    <n v="9.406438631790745E-2"/>
    <n v="0.76"/>
    <n v="0.11378326996197717"/>
  </r>
  <r>
    <m/>
    <x v="5"/>
    <m/>
    <m/>
    <x v="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2D556-A09E-4D18-86D5-9D2224A2AD5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0"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dataField="1" showAll="0"/>
    <pivotField dataField="1" showAll="0"/>
    <pivotField showAll="0"/>
    <pivotField showAll="0">
      <items count="3">
        <item x="1"/>
        <item x="0"/>
        <item t="default"/>
      </items>
    </pivotField>
    <pivotField showAll="0"/>
    <pivotField showAll="0"/>
    <pivotField showAll="0"/>
    <pivotField showAll="0"/>
    <pivotField numFmtId="9" showAll="0"/>
    <pivotField numFmtId="9" showAll="0"/>
  </pivotFields>
  <rowFields count="1">
    <field x="1"/>
  </rowFields>
  <rowItems count="6">
    <i>
      <x/>
    </i>
    <i>
      <x v="1"/>
    </i>
    <i>
      <x v="2"/>
    </i>
    <i>
      <x v="3"/>
    </i>
    <i>
      <x v="4"/>
    </i>
    <i t="grand">
      <x/>
    </i>
  </rowItems>
  <colFields count="1">
    <field x="-2"/>
  </colFields>
  <colItems count="2">
    <i>
      <x/>
    </i>
    <i i="1">
      <x v="1"/>
    </i>
  </colItems>
  <dataFields count="2">
    <dataField name="Sum of Negotiated_Price" fld="7" baseField="0" baseItem="0"/>
    <dataField name="Sum of Unit_Price" fld="6" baseField="0" baseItem="0"/>
  </dataField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49F4C0-9461-4A9A-AE02-69A056028B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dataField="1" showAll="0"/>
    <pivotField showAll="0"/>
    <pivotField showAll="0"/>
    <pivotField showAll="0"/>
    <pivotField numFmtId="9" showAll="0"/>
    <pivotField numFmtId="9" showAll="0"/>
  </pivotFields>
  <rowFields count="1">
    <field x="1"/>
  </rowFields>
  <rowItems count="6">
    <i>
      <x/>
    </i>
    <i>
      <x v="1"/>
    </i>
    <i>
      <x v="2"/>
    </i>
    <i>
      <x v="3"/>
    </i>
    <i>
      <x v="4"/>
    </i>
    <i t="grand">
      <x/>
    </i>
  </rowItems>
  <colItems count="1">
    <i/>
  </colItems>
  <dataFields count="1">
    <dataField name="Sum of Status_rate" fld="10" baseField="0" baseItem="0"/>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7F9A85-4842-4072-9852-EB45FD3881F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1:G17" firstHeaderRow="1"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dataField="1" showAll="0"/>
    <pivotField showAll="0">
      <items count="3">
        <item x="1"/>
        <item x="0"/>
        <item t="default"/>
      </items>
    </pivotField>
    <pivotField showAll="0"/>
    <pivotField showAll="0"/>
    <pivotField showAll="0"/>
    <pivotField showAll="0"/>
    <pivotField numFmtId="9" showAll="0"/>
    <pivotField numFmtId="9" showAll="0"/>
  </pivotFields>
  <rowFields count="1">
    <field x="1"/>
  </rowFields>
  <rowItems count="6">
    <i>
      <x/>
    </i>
    <i>
      <x v="1"/>
    </i>
    <i>
      <x v="2"/>
    </i>
    <i>
      <x v="3"/>
    </i>
    <i>
      <x v="4"/>
    </i>
    <i t="grand">
      <x/>
    </i>
  </rowItems>
  <colItems count="1">
    <i/>
  </colItems>
  <dataFields count="1">
    <dataField name="Sum of Defective_Units" fld="8"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98D5F-9DFD-4191-9775-7FAEAA052A3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0" firstHeaderRow="1"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showAll="0"/>
    <pivotField dataField="1" showAll="0"/>
    <pivotField showAll="0"/>
    <pivotField showAll="0"/>
    <pivotField numFmtId="9" showAll="0"/>
    <pivotField numFmtId="9" showAll="0"/>
  </pivotFields>
  <rowFields count="1">
    <field x="1"/>
  </rowFields>
  <rowItems count="6">
    <i>
      <x/>
    </i>
    <i>
      <x v="1"/>
    </i>
    <i>
      <x v="2"/>
    </i>
    <i>
      <x v="3"/>
    </i>
    <i>
      <x v="4"/>
    </i>
    <i t="grand">
      <x/>
    </i>
  </rowItems>
  <colItems count="1">
    <i/>
  </colItems>
  <dataFields count="1">
    <dataField name="Sum of Total Spend" fld="1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22963E-351A-47EC-B0EE-810D111A729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0" firstHeaderRow="1"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numFmtId="9" showAll="0"/>
    <pivotField dataField="1" numFmtId="9" showAll="0"/>
  </pivotFields>
  <rowFields count="1">
    <field x="1"/>
  </rowFields>
  <rowItems count="6">
    <i>
      <x/>
    </i>
    <i>
      <x v="1"/>
    </i>
    <i>
      <x v="2"/>
    </i>
    <i>
      <x v="3"/>
    </i>
    <i>
      <x v="4"/>
    </i>
    <i t="grand">
      <x/>
    </i>
  </rowItems>
  <colItems count="1">
    <i/>
  </colItems>
  <dataFields count="1">
    <dataField name="Sum of NegotiatedRat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1FA972-4973-47DC-9499-4291FEACF0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6">
    <pivotField showAll="0"/>
    <pivotField axis="axisRow"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dataField="1" numFmtId="9" showAll="0"/>
    <pivotField numFmtId="9" showAll="0"/>
  </pivotFields>
  <rowFields count="1">
    <field x="1"/>
  </rowFields>
  <rowItems count="6">
    <i>
      <x/>
    </i>
    <i>
      <x v="1"/>
    </i>
    <i>
      <x v="2"/>
    </i>
    <i>
      <x v="3"/>
    </i>
    <i>
      <x v="4"/>
    </i>
    <i t="grand">
      <x/>
    </i>
  </rowItems>
  <colItems count="1">
    <i/>
  </colItems>
  <dataFields count="1">
    <dataField name="Sum of Comp_rate" fld="14" baseField="0" baseItem="0"/>
  </dataFields>
  <chartFormats count="18">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0A8754-4825-48AF-874A-4AAA352DEE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G8" firstHeaderRow="1" firstDataRow="2" firstDataCol="1"/>
  <pivotFields count="16">
    <pivotField showAll="0"/>
    <pivotField axis="axisCol" showAll="0">
      <items count="6">
        <item x="0"/>
        <item x="3"/>
        <item x="1"/>
        <item x="4"/>
        <item x="2"/>
        <item t="default"/>
      </items>
    </pivotField>
    <pivotField axis="axisRow" dataField="1"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numFmtId="9" showAll="0"/>
    <pivotField numFmtId="9" showAll="0"/>
  </pivotFields>
  <rowFields count="1">
    <field x="2"/>
  </rowFields>
  <rowItems count="4">
    <i>
      <x/>
    </i>
    <i>
      <x v="1"/>
    </i>
    <i>
      <x v="2"/>
    </i>
    <i t="grand">
      <x/>
    </i>
  </rowItems>
  <colFields count="1">
    <field x="1"/>
  </colFields>
  <colItems count="6">
    <i>
      <x/>
    </i>
    <i>
      <x v="1"/>
    </i>
    <i>
      <x v="2"/>
    </i>
    <i>
      <x v="3"/>
    </i>
    <i>
      <x v="4"/>
    </i>
    <i t="grand">
      <x/>
    </i>
  </colItems>
  <dataFields count="1">
    <dataField name="Sum of Order Year" fld="2" baseField="0" baseItem="0"/>
  </dataFields>
  <chartFormats count="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165119D-8FEA-4AF9-839E-214666705EF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6" firstHeaderRow="0" firstDataRow="1" firstDataCol="0"/>
  <pivotFields count="16">
    <pivotField showAll="0">
      <items count="6">
        <item x="0"/>
        <item x="3"/>
        <item x="1"/>
        <item x="4"/>
        <item x="2"/>
        <item t="default"/>
      </items>
    </pivotField>
    <pivotField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dataField="1" showAll="0"/>
    <pivotField dataField="1" showAll="0"/>
    <pivotField showAll="0"/>
    <pivotField dataField="1" showAll="0"/>
    <pivotField dataField="1" numFmtId="9" showAll="0"/>
    <pivotField dataField="1" numFmtId="9" showAll="0"/>
  </pivotFields>
  <rowItems count="1">
    <i/>
  </rowItems>
  <colFields count="1">
    <field x="-2"/>
  </colFields>
  <colItems count="5">
    <i>
      <x/>
    </i>
    <i i="1">
      <x v="1"/>
    </i>
    <i i="2">
      <x v="2"/>
    </i>
    <i i="3">
      <x v="3"/>
    </i>
    <i i="4">
      <x v="4"/>
    </i>
  </colItems>
  <dataFields count="5">
    <dataField name="Sum of Status_rate" fld="10" baseField="0" baseItem="0"/>
    <dataField name="Sum of Total Spend" fld="11" baseField="0" baseItem="0"/>
    <dataField name="Sum of NegotiatedRate" fld="15" baseField="0" baseItem="0"/>
    <dataField name="Sum of Comp_rate" fld="14" baseField="0" baseItem="0"/>
    <dataField name="Sum of Defective_Rate" fld="13"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2D0F65-D364-4FFE-ABBB-2E2B1B9C556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21" firstHeaderRow="1" firstDataRow="1" firstDataCol="0"/>
  <pivotFields count="16">
    <pivotField showAll="0">
      <items count="6">
        <item x="0"/>
        <item x="3"/>
        <item x="1"/>
        <item x="4"/>
        <item x="2"/>
        <item t="default"/>
      </items>
    </pivotField>
    <pivotField showAll="0">
      <items count="6">
        <item x="0"/>
        <item x="3"/>
        <item x="1"/>
        <item x="4"/>
        <item x="2"/>
        <item t="default"/>
      </items>
    </pivotField>
    <pivotField showAll="0">
      <items count="4">
        <item x="1"/>
        <item x="0"/>
        <item x="2"/>
        <item t="default"/>
      </items>
    </pivotField>
    <pivotField showAll="0">
      <items count="6">
        <item x="4"/>
        <item x="1"/>
        <item x="0"/>
        <item x="2"/>
        <item x="3"/>
        <item t="default"/>
      </items>
    </pivotField>
    <pivotField showAll="0">
      <items count="5">
        <item x="0"/>
        <item x="1"/>
        <item x="2"/>
        <item x="3"/>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numFmtId="9" showAll="0"/>
    <pivotField numFmtId="9"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7D7579D-B945-4E5B-B911-B2EDDE9861F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8" firstHeaderRow="0" firstDataRow="1" firstDataCol="1"/>
  <pivotFields count="16">
    <pivotField showAll="0"/>
    <pivotField axis="axisRow" showAll="0">
      <items count="7">
        <item x="0"/>
        <item x="3"/>
        <item x="1"/>
        <item x="4"/>
        <item x="2"/>
        <item x="5"/>
        <item t="default"/>
      </items>
    </pivotField>
    <pivotField showAll="0"/>
    <pivotField showAll="0"/>
    <pivotField showAll="0">
      <items count="6">
        <item x="0"/>
        <item x="1"/>
        <item x="2"/>
        <item x="3"/>
        <item x="4"/>
        <item t="default"/>
      </items>
    </pivotField>
    <pivotField dataField="1"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Fields count="1">
    <field x="-2"/>
  </colFields>
  <colItems count="2">
    <i>
      <x/>
    </i>
    <i i="1">
      <x v="1"/>
    </i>
  </colItems>
  <dataFields count="2">
    <dataField name="Average of Status_Rate" fld="10" subtotal="average" baseField="1" baseItem="0"/>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E61E647F-5210-4CF3-AC66-B093433E1813}" sourceName="Vendor_Name">
  <pivotTables>
    <pivotTable tabId="10" name="PivotTable9"/>
    <pivotTable tabId="9" name="PivotTable8"/>
    <pivotTable tabId="3" name="PivotTable2"/>
    <pivotTable tabId="6" name="PivotTable5"/>
    <pivotTable tabId="2" name="PivotTable1"/>
    <pivotTable tabId="4" name="PivotTable3"/>
    <pivotTable tabId="7" name="PivotTable6"/>
    <pivotTable tabId="8" name="PivotTable7"/>
    <pivotTable tabId="5" name="PivotTable4"/>
  </pivotTables>
  <data>
    <tabular pivotCacheId="1304308962">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1FBDCAAD-246E-403F-8794-298ABE6B863B}" sourceName="Order Year">
  <pivotTables>
    <pivotTable tabId="10" name="PivotTable9"/>
    <pivotTable tabId="9" name="PivotTable8"/>
    <pivotTable tabId="3" name="PivotTable2"/>
    <pivotTable tabId="6" name="PivotTable5"/>
    <pivotTable tabId="2" name="PivotTable1"/>
    <pivotTable tabId="5" name="PivotTable4"/>
    <pivotTable tabId="4" name="PivotTable3"/>
    <pivotTable tabId="7" name="PivotTable6"/>
    <pivotTable tabId="8" name="PivotTable7"/>
  </pivotTables>
  <data>
    <tabular pivotCacheId="130430896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 xr10:uid="{EC02E117-17E6-4A3F-B38C-A327DDABD8A1}" sourceName="Item_Category">
  <pivotTables>
    <pivotTable tabId="10" name="PivotTable9"/>
    <pivotTable tabId="9" name="PivotTable8"/>
    <pivotTable tabId="3" name="PivotTable2"/>
    <pivotTable tabId="6" name="PivotTable5"/>
    <pivotTable tabId="2" name="PivotTable1"/>
    <pivotTable tabId="5" name="PivotTable4"/>
    <pivotTable tabId="4" name="PivotTable3"/>
    <pivotTable tabId="7" name="PivotTable6"/>
    <pivotTable tabId="8" name="PivotTable7"/>
  </pivotTables>
  <data>
    <tabular pivotCacheId="1304308962">
      <items count="5">
        <i x="4" s="1"/>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F0D480AB-78B6-4D58-9756-3AF89286CFB7}" sourceName="Order_Status">
  <pivotTables>
    <pivotTable tabId="10" name="PivotTable9"/>
    <pivotTable tabId="9" name="PivotTable8"/>
    <pivotTable tabId="3" name="PivotTable2"/>
    <pivotTable tabId="6" name="PivotTable5"/>
    <pivotTable tabId="2" name="PivotTable1"/>
    <pivotTable tabId="5" name="PivotTable4"/>
    <pivotTable tabId="4" name="PivotTable3"/>
    <pivotTable tabId="7" name="PivotTable6"/>
    <pivotTable tabId="8" name="PivotTable7"/>
  </pivotTables>
  <data>
    <tabular pivotCacheId="1304308962">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iance" xr10:uid="{48BDDFA7-9F7B-4721-9275-4150849168F4}" sourceName="Compliance">
  <pivotTables>
    <pivotTable tabId="10" name="PivotTable9"/>
    <pivotTable tabId="9" name="PivotTable8"/>
    <pivotTable tabId="3" name="PivotTable2"/>
    <pivotTable tabId="6" name="PivotTable5"/>
    <pivotTable tabId="2" name="PivotTable1"/>
    <pivotTable tabId="5" name="PivotTable4"/>
    <pivotTable tabId="4" name="PivotTable3"/>
    <pivotTable tabId="7" name="PivotTable6"/>
    <pivotTable tabId="8" name="PivotTable7"/>
  </pivotTables>
  <data>
    <tabular pivotCacheId="13043089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xr10:uid="{4E6C0D4C-F6A8-4F53-B96A-1625791CB2BB}" cache="Slicer_Vendor_Name" caption="Vendor_Name" rowHeight="249238"/>
  <slicer name="Order Year" xr10:uid="{FCA3D240-2FE8-4D7A-B591-37A90CA1E1FC}" cache="Slicer_Order_Year" caption="Order Year" rowHeight="249238"/>
  <slicer name="Item_Category" xr10:uid="{321BC894-819C-4E11-A0CD-3005F737E339}" cache="Slicer_Item_Category" caption="Item_Category" rowHeight="249238"/>
  <slicer name="Order_Status" xr10:uid="{CB9E1408-6585-4A7C-A02F-1828407D129C}" cache="Slicer_Order_Status" caption="Order_Status" rowHeight="249238"/>
  <slicer name="Compliance" xr10:uid="{A7DF9122-7063-45D3-ADE7-44DCF29B0D04}" cache="Slicer_Compliance" caption="Compliance"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Name 1" xr10:uid="{29B09440-7494-4E64-A120-2C06E3F4DC70}" cache="Slicer_Vendor_Name" caption="Vendor_Name" startItem="3" style="SlicerStyleLight2" rowHeight="249238"/>
  <slicer name="Order Year 1" xr10:uid="{B9882B31-B8DE-4EEE-94DF-985E2B58B4C7}" cache="Slicer_Order_Year" caption="Order Year" style="SlicerStyleLight2" rowHeight="249238"/>
  <slicer name="Item_Category 1" xr10:uid="{B94ADEF0-A0B8-4C4F-9765-061E06C22C92}" cache="Slicer_Item_Category" caption="Item_Category" style="SlicerStyleLight2" rowHeight="249238"/>
  <slicer name="Order_Status 1" xr10:uid="{371735D4-D969-4712-87A3-6B36F7648D92}" cache="Slicer_Order_Status" caption="Order_Status" style="SlicerStyleLight2" rowHeight="249238"/>
  <slicer name="Compliance 1" xr10:uid="{5B041097-9EA0-4CCD-A316-A52034C86CD5}" cache="Slicer_Compliance" caption="Compliance" style="SlicerStyleLight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D2D414-370B-4AE7-B95D-7BD45F99BD0A}" name="Table1" displayName="Table1" ref="A1:P779" totalsRowShown="0">
  <autoFilter ref="A1:P779" xr:uid="{65F03299-81C2-42FA-87A7-73301738E604}"/>
  <tableColumns count="16">
    <tableColumn id="1" xr3:uid="{9D0A87C9-4B1C-420D-ABC4-AB0F94F97242}" name="Column1"/>
    <tableColumn id="2" xr3:uid="{496EF160-120E-4599-98E5-8CE9DFFFCF29}" name="Vendor_Name"/>
    <tableColumn id="3" xr3:uid="{E40AE8CB-EB9D-4387-8E9D-1A75E148FBDC}" name="Order Year"/>
    <tableColumn id="4" xr3:uid="{0C429AB3-48BA-4E39-9D98-12A70ED02179}" name="Item_Category"/>
    <tableColumn id="5" xr3:uid="{A2B86731-BEFF-411E-8B23-014F2C26A82A}" name="Order_Status"/>
    <tableColumn id="6" xr3:uid="{8BD5C3DB-1660-4C53-9CCA-E7B8659485A3}" name="Quantity"/>
    <tableColumn id="7" xr3:uid="{96CE6347-BC7C-406E-9F51-AB775B4B9C84}" name="Unit_Price"/>
    <tableColumn id="8" xr3:uid="{85FAFAA7-5251-404A-9A9D-1502C841663C}" name="Negotiated_Price"/>
    <tableColumn id="9" xr3:uid="{5CA5D408-5547-44BE-831A-794EEC1A268C}" name="Defective_Units"/>
    <tableColumn id="10" xr3:uid="{48844993-9EDE-42D6-A36A-0DCB94849FB0}" name="Compliance"/>
    <tableColumn id="11" xr3:uid="{6F9C8B5A-ABB1-40A5-B8DF-B667F7E962E0}" name="Status_Rate" dataDxfId="5" dataCellStyle="Percent"/>
    <tableColumn id="12" xr3:uid="{65278514-F274-4A2F-B718-4D572E514025}" name="Total Spend" dataDxfId="4" dataCellStyle="Currency"/>
    <tableColumn id="13" xr3:uid="{12305CD3-C5EF-4ADF-A22A-E0EB9DB443C4}" name="Savings" dataDxfId="3" dataCellStyle="Currency"/>
    <tableColumn id="14" xr3:uid="{2BB0BD5C-B0E7-40C4-8C00-C01678F8B526}" name="Defective_Rate" dataDxfId="2" dataCellStyle="Percent"/>
    <tableColumn id="15" xr3:uid="{FCD149BE-861C-453A-9230-643C090D848D}" name="Comp_rate" dataDxfId="1"/>
    <tableColumn id="16" xr3:uid="{DFB23291-67A6-4091-B810-6FEB4BA2FC2D}" name="Negot_Rat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D53F7-6DBF-41A5-B04B-1DF0C8A966AC}">
  <dimension ref="A3:C9"/>
  <sheetViews>
    <sheetView workbookViewId="0">
      <selection activeCell="B3" sqref="B3"/>
    </sheetView>
  </sheetViews>
  <sheetFormatPr defaultRowHeight="14.25" x14ac:dyDescent="0.45"/>
  <cols>
    <col min="1" max="1" width="12.59765625" bestFit="1" customWidth="1"/>
    <col min="2" max="2" width="20.3984375" bestFit="1" customWidth="1"/>
    <col min="3" max="3" width="14.86328125" bestFit="1" customWidth="1"/>
  </cols>
  <sheetData>
    <row r="3" spans="1:3" x14ac:dyDescent="0.45">
      <c r="A3" s="11" t="s">
        <v>34</v>
      </c>
      <c r="B3" t="s">
        <v>36</v>
      </c>
      <c r="C3" t="s">
        <v>38</v>
      </c>
    </row>
    <row r="4" spans="1:3" x14ac:dyDescent="0.45">
      <c r="A4" s="12" t="s">
        <v>14</v>
      </c>
      <c r="B4" s="13">
        <v>7564.3900000000031</v>
      </c>
      <c r="C4" s="13">
        <v>8232.5000000000036</v>
      </c>
    </row>
    <row r="5" spans="1:3" x14ac:dyDescent="0.45">
      <c r="A5" s="12" t="s">
        <v>25</v>
      </c>
      <c r="B5" s="13">
        <v>8362.8300000000017</v>
      </c>
      <c r="C5" s="13">
        <v>9091.59</v>
      </c>
    </row>
    <row r="6" spans="1:3" x14ac:dyDescent="0.45">
      <c r="A6" s="12" t="s">
        <v>19</v>
      </c>
      <c r="B6" s="13">
        <v>8874.6100000000042</v>
      </c>
      <c r="C6" s="13">
        <v>9616.3599999999969</v>
      </c>
    </row>
    <row r="7" spans="1:3" x14ac:dyDescent="0.45">
      <c r="A7" s="12" t="s">
        <v>30</v>
      </c>
      <c r="B7" s="13">
        <v>9069.49</v>
      </c>
      <c r="C7" s="13">
        <v>9859.19</v>
      </c>
    </row>
    <row r="8" spans="1:3" x14ac:dyDescent="0.45">
      <c r="A8" s="12" t="s">
        <v>22</v>
      </c>
      <c r="B8" s="13">
        <v>7823.0600000000013</v>
      </c>
      <c r="C8" s="13">
        <v>8486.8900000000012</v>
      </c>
    </row>
    <row r="9" spans="1:3" x14ac:dyDescent="0.45">
      <c r="A9" s="12" t="s">
        <v>35</v>
      </c>
      <c r="B9" s="13">
        <v>41694.380000000005</v>
      </c>
      <c r="C9" s="13">
        <v>45286.53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7D21C-5FD0-4D75-842D-28D4E62EB8B1}">
  <dimension ref="A1:B7"/>
  <sheetViews>
    <sheetView workbookViewId="0">
      <selection activeCell="B1" sqref="B1"/>
    </sheetView>
  </sheetViews>
  <sheetFormatPr defaultRowHeight="14.25" x14ac:dyDescent="0.45"/>
  <cols>
    <col min="1" max="1" width="12.59765625" bestFit="1" customWidth="1"/>
    <col min="2" max="3" width="15.73046875" bestFit="1" customWidth="1"/>
  </cols>
  <sheetData>
    <row r="1" spans="1:2" x14ac:dyDescent="0.45">
      <c r="A1" s="11" t="s">
        <v>34</v>
      </c>
      <c r="B1" t="s">
        <v>39</v>
      </c>
    </row>
    <row r="2" spans="1:2" x14ac:dyDescent="0.45">
      <c r="A2" s="12" t="s">
        <v>14</v>
      </c>
      <c r="B2" s="13">
        <v>8396.4539004279959</v>
      </c>
    </row>
    <row r="3" spans="1:2" x14ac:dyDescent="0.45">
      <c r="A3" s="12" t="s">
        <v>25</v>
      </c>
      <c r="B3" s="13">
        <v>8221.7948714850027</v>
      </c>
    </row>
    <row r="4" spans="1:2" x14ac:dyDescent="0.45">
      <c r="A4" s="12" t="s">
        <v>19</v>
      </c>
      <c r="B4" s="13">
        <v>8929.239766512017</v>
      </c>
    </row>
    <row r="5" spans="1:2" x14ac:dyDescent="0.45">
      <c r="A5" s="12" t="s">
        <v>30</v>
      </c>
      <c r="B5" s="13">
        <v>9110.1777743900275</v>
      </c>
    </row>
    <row r="6" spans="1:2" x14ac:dyDescent="0.45">
      <c r="A6" s="12" t="s">
        <v>22</v>
      </c>
      <c r="B6" s="13">
        <v>7849.6503499260052</v>
      </c>
    </row>
    <row r="7" spans="1:2" x14ac:dyDescent="0.45">
      <c r="A7" s="12" t="s">
        <v>35</v>
      </c>
      <c r="B7" s="13">
        <v>42507.316662741046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124D-8AF3-4620-90DB-861C051E7954}">
  <dimension ref="F11:G17"/>
  <sheetViews>
    <sheetView topLeftCell="E1" workbookViewId="0">
      <selection activeCell="G15" sqref="G15"/>
    </sheetView>
  </sheetViews>
  <sheetFormatPr defaultRowHeight="14.25" x14ac:dyDescent="0.45"/>
  <cols>
    <col min="6" max="6" width="12.59765625" bestFit="1" customWidth="1"/>
    <col min="7" max="7" width="19.33203125" bestFit="1" customWidth="1"/>
  </cols>
  <sheetData>
    <row r="11" spans="6:7" x14ac:dyDescent="0.45">
      <c r="F11" s="11" t="s">
        <v>34</v>
      </c>
      <c r="G11" t="s">
        <v>37</v>
      </c>
    </row>
    <row r="12" spans="6:7" x14ac:dyDescent="0.45">
      <c r="F12" s="12" t="s">
        <v>14</v>
      </c>
      <c r="G12" s="13">
        <v>3389</v>
      </c>
    </row>
    <row r="13" spans="6:7" x14ac:dyDescent="0.45">
      <c r="F13" s="12" t="s">
        <v>25</v>
      </c>
      <c r="G13" s="13">
        <v>16358</v>
      </c>
    </row>
    <row r="14" spans="6:7" x14ac:dyDescent="0.45">
      <c r="F14" s="12" t="s">
        <v>19</v>
      </c>
      <c r="G14" s="13">
        <v>26498</v>
      </c>
    </row>
    <row r="15" spans="6:7" x14ac:dyDescent="0.45">
      <c r="F15" s="12" t="s">
        <v>30</v>
      </c>
      <c r="G15" s="13">
        <v>5507</v>
      </c>
    </row>
    <row r="16" spans="6:7" x14ac:dyDescent="0.45">
      <c r="F16" s="12" t="s">
        <v>22</v>
      </c>
      <c r="G16" s="13">
        <v>7859</v>
      </c>
    </row>
    <row r="17" spans="6:7" x14ac:dyDescent="0.45">
      <c r="F17" s="12" t="s">
        <v>35</v>
      </c>
      <c r="G17" s="13">
        <v>59611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80DC-1534-47B1-9CCE-2406A30D8561}">
  <dimension ref="A4:B10"/>
  <sheetViews>
    <sheetView workbookViewId="0">
      <selection activeCell="B5" sqref="B5"/>
    </sheetView>
  </sheetViews>
  <sheetFormatPr defaultRowHeight="14.25" x14ac:dyDescent="0.45"/>
  <cols>
    <col min="1" max="1" width="12.59765625" bestFit="1" customWidth="1"/>
    <col min="2" max="2" width="16" bestFit="1" customWidth="1"/>
  </cols>
  <sheetData>
    <row r="4" spans="1:2" x14ac:dyDescent="0.45">
      <c r="A4" s="11" t="s">
        <v>34</v>
      </c>
      <c r="B4" t="s">
        <v>40</v>
      </c>
    </row>
    <row r="5" spans="1:2" x14ac:dyDescent="0.45">
      <c r="A5" s="12" t="s">
        <v>14</v>
      </c>
      <c r="B5" s="13">
        <v>7839712.2500000028</v>
      </c>
    </row>
    <row r="6" spans="1:2" x14ac:dyDescent="0.45">
      <c r="A6" s="12" t="s">
        <v>25</v>
      </c>
      <c r="B6" s="13">
        <v>9858665.9000000022</v>
      </c>
    </row>
    <row r="7" spans="1:2" x14ac:dyDescent="0.45">
      <c r="A7" s="12" t="s">
        <v>19</v>
      </c>
      <c r="B7" s="13">
        <v>9236240.4699999988</v>
      </c>
    </row>
    <row r="8" spans="1:2" x14ac:dyDescent="0.45">
      <c r="A8" s="12" t="s">
        <v>30</v>
      </c>
      <c r="B8" s="13">
        <v>9851156.0600000024</v>
      </c>
    </row>
    <row r="9" spans="1:2" x14ac:dyDescent="0.45">
      <c r="A9" s="12" t="s">
        <v>22</v>
      </c>
      <c r="B9" s="13">
        <v>8587921.7099999972</v>
      </c>
    </row>
    <row r="10" spans="1:2" x14ac:dyDescent="0.45">
      <c r="A10" s="12" t="s">
        <v>35</v>
      </c>
      <c r="B10" s="13">
        <v>45373696.390000001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D3CF-23C9-40DD-9C1A-C1CDCC2CD901}">
  <dimension ref="A4:B10"/>
  <sheetViews>
    <sheetView workbookViewId="0">
      <selection activeCell="B4" sqref="B4"/>
    </sheetView>
  </sheetViews>
  <sheetFormatPr defaultRowHeight="14.25" x14ac:dyDescent="0.45"/>
  <cols>
    <col min="1" max="1" width="12.59765625" bestFit="1" customWidth="1"/>
    <col min="2" max="2" width="19.1328125" bestFit="1" customWidth="1"/>
  </cols>
  <sheetData>
    <row r="4" spans="1:2" x14ac:dyDescent="0.45">
      <c r="A4" s="11" t="s">
        <v>34</v>
      </c>
      <c r="B4" t="s">
        <v>41</v>
      </c>
    </row>
    <row r="5" spans="1:2" x14ac:dyDescent="0.45">
      <c r="A5" s="12" t="s">
        <v>14</v>
      </c>
      <c r="B5" s="13">
        <v>27.999999999999993</v>
      </c>
    </row>
    <row r="6" spans="1:2" x14ac:dyDescent="0.45">
      <c r="A6" s="12" t="s">
        <v>25</v>
      </c>
      <c r="B6" s="13">
        <v>25.570000000000011</v>
      </c>
    </row>
    <row r="7" spans="1:2" x14ac:dyDescent="0.45">
      <c r="A7" s="12" t="s">
        <v>19</v>
      </c>
      <c r="B7" s="13">
        <v>32.819999999999986</v>
      </c>
    </row>
    <row r="8" spans="1:2" x14ac:dyDescent="0.45">
      <c r="A8" s="12" t="s">
        <v>30</v>
      </c>
      <c r="B8" s="13">
        <v>29.719999999999985</v>
      </c>
    </row>
    <row r="9" spans="1:2" x14ac:dyDescent="0.45">
      <c r="A9" s="12" t="s">
        <v>22</v>
      </c>
      <c r="B9" s="13">
        <v>20.450000000000003</v>
      </c>
    </row>
    <row r="10" spans="1:2" x14ac:dyDescent="0.45">
      <c r="A10" s="12" t="s">
        <v>35</v>
      </c>
      <c r="B10" s="13">
        <v>136.55999999999997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1B30-3C3C-4A71-9CFE-47A7BED82563}">
  <dimension ref="A3:B9"/>
  <sheetViews>
    <sheetView workbookViewId="0">
      <selection activeCell="A3" sqref="A3"/>
    </sheetView>
  </sheetViews>
  <sheetFormatPr defaultRowHeight="14.25" x14ac:dyDescent="0.45"/>
  <cols>
    <col min="1" max="1" width="12.59765625" bestFit="1" customWidth="1"/>
    <col min="2" max="2" width="15.3984375" bestFit="1" customWidth="1"/>
  </cols>
  <sheetData>
    <row r="3" spans="1:2" x14ac:dyDescent="0.45">
      <c r="A3" s="11" t="s">
        <v>34</v>
      </c>
      <c r="B3" t="s">
        <v>42</v>
      </c>
    </row>
    <row r="4" spans="1:2" x14ac:dyDescent="0.45">
      <c r="A4" s="12" t="s">
        <v>14</v>
      </c>
      <c r="B4" s="13">
        <v>124.61999999999981</v>
      </c>
    </row>
    <row r="5" spans="1:2" x14ac:dyDescent="0.45">
      <c r="A5" s="12" t="s">
        <v>25</v>
      </c>
      <c r="B5" s="13">
        <v>98.280000000000101</v>
      </c>
    </row>
    <row r="6" spans="1:2" x14ac:dyDescent="0.45">
      <c r="A6" s="12" t="s">
        <v>19</v>
      </c>
      <c r="B6" s="13">
        <v>89.57</v>
      </c>
    </row>
    <row r="7" spans="1:2" x14ac:dyDescent="0.45">
      <c r="A7" s="12" t="s">
        <v>30</v>
      </c>
      <c r="B7" s="13">
        <v>160.63999999999982</v>
      </c>
    </row>
    <row r="8" spans="1:2" x14ac:dyDescent="0.45">
      <c r="A8" s="12" t="s">
        <v>22</v>
      </c>
      <c r="B8" s="13">
        <v>108.57999999999996</v>
      </c>
    </row>
    <row r="9" spans="1:2" x14ac:dyDescent="0.45">
      <c r="A9" s="12" t="s">
        <v>35</v>
      </c>
      <c r="B9" s="13">
        <v>581.68999999999971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B0166-21AE-4666-B3CD-B8FE3372DF92}">
  <dimension ref="A3:G8"/>
  <sheetViews>
    <sheetView workbookViewId="0">
      <selection activeCell="C3" sqref="C3"/>
    </sheetView>
  </sheetViews>
  <sheetFormatPr defaultRowHeight="14.25" x14ac:dyDescent="0.45"/>
  <cols>
    <col min="1" max="1" width="15.19921875" bestFit="1" customWidth="1"/>
    <col min="2" max="2" width="14.73046875" bestFit="1" customWidth="1"/>
    <col min="3" max="3" width="12.06640625" bestFit="1" customWidth="1"/>
    <col min="4" max="4" width="12.796875" bestFit="1" customWidth="1"/>
    <col min="5" max="5" width="12.33203125" bestFit="1" customWidth="1"/>
    <col min="6" max="6" width="9.9296875" bestFit="1" customWidth="1"/>
    <col min="7" max="7" width="9.86328125" bestFit="1" customWidth="1"/>
  </cols>
  <sheetData>
    <row r="3" spans="1:7" x14ac:dyDescent="0.45">
      <c r="A3" s="11" t="s">
        <v>43</v>
      </c>
      <c r="B3" s="11" t="s">
        <v>44</v>
      </c>
    </row>
    <row r="4" spans="1:7" x14ac:dyDescent="0.45">
      <c r="A4" s="11" t="s">
        <v>34</v>
      </c>
      <c r="B4" t="s">
        <v>14</v>
      </c>
      <c r="C4" t="s">
        <v>25</v>
      </c>
      <c r="D4" t="s">
        <v>19</v>
      </c>
      <c r="E4" t="s">
        <v>30</v>
      </c>
      <c r="F4" t="s">
        <v>22</v>
      </c>
      <c r="G4" t="s">
        <v>35</v>
      </c>
    </row>
    <row r="5" spans="1:7" x14ac:dyDescent="0.45">
      <c r="A5" s="12">
        <v>2022</v>
      </c>
      <c r="B5" s="13">
        <v>157716</v>
      </c>
      <c r="C5" s="13">
        <v>143562</v>
      </c>
      <c r="D5" s="13">
        <v>165804</v>
      </c>
      <c r="E5" s="13">
        <v>171870</v>
      </c>
      <c r="F5" s="13">
        <v>161760</v>
      </c>
      <c r="G5" s="13">
        <v>800712</v>
      </c>
    </row>
    <row r="6" spans="1:7" x14ac:dyDescent="0.45">
      <c r="A6" s="12">
        <v>2023</v>
      </c>
      <c r="B6" s="13">
        <v>127449</v>
      </c>
      <c r="C6" s="13">
        <v>171955</v>
      </c>
      <c r="D6" s="13">
        <v>178024</v>
      </c>
      <c r="E6" s="13">
        <v>163863</v>
      </c>
      <c r="F6" s="13">
        <v>125426</v>
      </c>
      <c r="G6" s="13">
        <v>766717</v>
      </c>
    </row>
    <row r="7" spans="1:7" x14ac:dyDescent="0.45">
      <c r="A7" s="12">
        <v>2024</v>
      </c>
      <c r="B7" s="13"/>
      <c r="C7" s="13"/>
      <c r="D7" s="13">
        <v>2024</v>
      </c>
      <c r="E7" s="13"/>
      <c r="F7" s="13">
        <v>2024</v>
      </c>
      <c r="G7" s="13">
        <v>4048</v>
      </c>
    </row>
    <row r="8" spans="1:7" x14ac:dyDescent="0.45">
      <c r="A8" s="12" t="s">
        <v>35</v>
      </c>
      <c r="B8" s="13">
        <v>285165</v>
      </c>
      <c r="C8" s="13">
        <v>315517</v>
      </c>
      <c r="D8" s="13">
        <v>345852</v>
      </c>
      <c r="E8" s="13">
        <v>335733</v>
      </c>
      <c r="F8" s="13">
        <v>289210</v>
      </c>
      <c r="G8" s="13">
        <v>1571477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3299-81C2-42FA-87A7-73301738E604}">
  <dimension ref="A1:R779"/>
  <sheetViews>
    <sheetView topLeftCell="F758" workbookViewId="0">
      <selection activeCell="P1" sqref="P1"/>
    </sheetView>
  </sheetViews>
  <sheetFormatPr defaultRowHeight="14.25" x14ac:dyDescent="0.45"/>
  <cols>
    <col min="1" max="1" width="10.86328125" customWidth="1"/>
    <col min="2" max="2" width="13.86328125" customWidth="1"/>
    <col min="3" max="3" width="11.1328125" customWidth="1"/>
    <col min="4" max="4" width="14.19921875" customWidth="1"/>
    <col min="5" max="5" width="13.06640625" customWidth="1"/>
    <col min="6" max="6" width="9.33203125" customWidth="1"/>
    <col min="7" max="7" width="10.796875" customWidth="1"/>
    <col min="8" max="8" width="16.265625" customWidth="1"/>
    <col min="9" max="9" width="15.19921875" customWidth="1"/>
    <col min="10" max="10" width="12.19921875" customWidth="1"/>
    <col min="11" max="11" width="12.1328125" style="14" customWidth="1"/>
    <col min="12" max="12" width="12.59765625" style="15" customWidth="1"/>
    <col min="13" max="13" width="10.796875" style="15" bestFit="1" customWidth="1"/>
    <col min="14" max="14" width="14.73046875" customWidth="1"/>
    <col min="15" max="15" width="11.33203125" customWidth="1"/>
    <col min="16" max="16" width="11.796875" customWidth="1"/>
  </cols>
  <sheetData>
    <row r="1" spans="1:16" x14ac:dyDescent="0.45">
      <c r="A1" t="s">
        <v>48</v>
      </c>
      <c r="B1" t="s">
        <v>0</v>
      </c>
      <c r="C1" t="s">
        <v>1</v>
      </c>
      <c r="D1" t="s">
        <v>2</v>
      </c>
      <c r="E1" t="s">
        <v>3</v>
      </c>
      <c r="F1" t="s">
        <v>4</v>
      </c>
      <c r="G1" t="s">
        <v>5</v>
      </c>
      <c r="H1" t="s">
        <v>6</v>
      </c>
      <c r="I1" t="s">
        <v>7</v>
      </c>
      <c r="J1" t="s">
        <v>8</v>
      </c>
      <c r="K1" s="14" t="s">
        <v>47</v>
      </c>
      <c r="L1" s="15" t="s">
        <v>9</v>
      </c>
      <c r="M1" s="15" t="s">
        <v>10</v>
      </c>
      <c r="N1" t="s">
        <v>11</v>
      </c>
      <c r="O1" t="s">
        <v>12</v>
      </c>
      <c r="P1" t="s">
        <v>46</v>
      </c>
    </row>
    <row r="2" spans="1:16" x14ac:dyDescent="0.45">
      <c r="A2" t="s">
        <v>13</v>
      </c>
      <c r="B2" t="s">
        <v>14</v>
      </c>
      <c r="C2">
        <v>2023</v>
      </c>
      <c r="D2" t="s">
        <v>15</v>
      </c>
      <c r="E2" t="s">
        <v>16</v>
      </c>
      <c r="F2">
        <v>1176</v>
      </c>
      <c r="G2">
        <v>20.13</v>
      </c>
      <c r="H2">
        <v>17.809999999999999</v>
      </c>
      <c r="I2">
        <v>24</v>
      </c>
      <c r="J2" t="s">
        <v>17</v>
      </c>
      <c r="K2" s="14">
        <f>COUNTIFS(B:B,"Alpha_Inc",E:E,"Cancelled") / COUNTIF(B:B,"Alpha_Inc")</f>
        <v>9.2198581560283682E-2</v>
      </c>
      <c r="L2" s="15">
        <v>20944.560000000001</v>
      </c>
      <c r="M2" s="15">
        <v>2728.32</v>
      </c>
      <c r="N2" s="14">
        <f t="shared" ref="N2:N65" si="0">I2/F2</f>
        <v>2.0408163265306121E-2</v>
      </c>
      <c r="O2" s="1">
        <v>0.94</v>
      </c>
      <c r="P2" s="1">
        <f>((G2-H2)/G2)</f>
        <v>0.11525086934923003</v>
      </c>
    </row>
    <row r="3" spans="1:16" x14ac:dyDescent="0.45">
      <c r="A3" t="s">
        <v>18</v>
      </c>
      <c r="B3" t="s">
        <v>19</v>
      </c>
      <c r="C3">
        <v>2022</v>
      </c>
      <c r="D3" t="s">
        <v>15</v>
      </c>
      <c r="E3" t="s">
        <v>20</v>
      </c>
      <c r="F3">
        <v>1509</v>
      </c>
      <c r="G3">
        <v>39.32</v>
      </c>
      <c r="H3">
        <v>37.340000000000003</v>
      </c>
      <c r="I3">
        <v>235</v>
      </c>
      <c r="J3" t="s">
        <v>17</v>
      </c>
      <c r="K3" s="14">
        <f>COUNTIFS(B:B,"Delta_Logistics",E:E,"Delivered") / COUNTIF(B:B,"Delta_Logistics")</f>
        <v>0.70175438596491224</v>
      </c>
      <c r="L3" s="15">
        <v>56346.06</v>
      </c>
      <c r="M3" s="15">
        <v>2987.82</v>
      </c>
      <c r="N3" s="14">
        <f t="shared" si="0"/>
        <v>0.15573227302849568</v>
      </c>
      <c r="O3" s="1">
        <v>0.61</v>
      </c>
      <c r="P3" s="1">
        <f t="shared" ref="P3:P66" si="1">((G3-H3)/G3)</f>
        <v>5.0356052899287816E-2</v>
      </c>
    </row>
    <row r="4" spans="1:16" x14ac:dyDescent="0.45">
      <c r="A4" t="s">
        <v>21</v>
      </c>
      <c r="B4" t="s">
        <v>22</v>
      </c>
      <c r="C4">
        <v>2022</v>
      </c>
      <c r="D4" t="s">
        <v>23</v>
      </c>
      <c r="E4" t="s">
        <v>20</v>
      </c>
      <c r="F4">
        <v>910</v>
      </c>
      <c r="G4">
        <v>95.51</v>
      </c>
      <c r="H4">
        <v>92.26</v>
      </c>
      <c r="I4">
        <v>41</v>
      </c>
      <c r="J4" t="s">
        <v>17</v>
      </c>
      <c r="K4" s="14">
        <f>COUNTIFS(B:B,"Gamma_Co",E:E,"Delivered") / COUNTIF(B:B,"Gamma_Co")</f>
        <v>0.72027972027972031</v>
      </c>
      <c r="L4" s="15">
        <v>83956.6</v>
      </c>
      <c r="M4" s="15">
        <v>2957.5</v>
      </c>
      <c r="N4" s="14">
        <f t="shared" si="0"/>
        <v>4.5054945054945054E-2</v>
      </c>
      <c r="O4" s="1">
        <v>0.86</v>
      </c>
      <c r="P4" s="1">
        <f t="shared" si="1"/>
        <v>3.4027850486860016E-2</v>
      </c>
    </row>
    <row r="5" spans="1:16" x14ac:dyDescent="0.45">
      <c r="A5" t="s">
        <v>24</v>
      </c>
      <c r="B5" t="s">
        <v>25</v>
      </c>
      <c r="C5">
        <v>2022</v>
      </c>
      <c r="D5" t="s">
        <v>26</v>
      </c>
      <c r="E5" t="s">
        <v>20</v>
      </c>
      <c r="F5">
        <v>1344</v>
      </c>
      <c r="G5">
        <v>99.85</v>
      </c>
      <c r="H5">
        <v>95.52</v>
      </c>
      <c r="I5">
        <v>112</v>
      </c>
      <c r="J5" t="s">
        <v>17</v>
      </c>
      <c r="K5" s="14">
        <f>COUNTIFS(B:B,"Beta_Supplies",E:E,"Delivered") / COUNTIF(B:B,"Beta_Supplies")</f>
        <v>0.70512820512820518</v>
      </c>
      <c r="L5" s="15">
        <v>128378.88</v>
      </c>
      <c r="M5" s="15">
        <v>5819.52</v>
      </c>
      <c r="N5" s="14">
        <f t="shared" si="0"/>
        <v>8.3333333333333329E-2</v>
      </c>
      <c r="O5" s="1">
        <v>0.24</v>
      </c>
      <c r="P5" s="1">
        <f t="shared" si="1"/>
        <v>4.3365047571357021E-2</v>
      </c>
    </row>
    <row r="6" spans="1:16" x14ac:dyDescent="0.45">
      <c r="A6" t="s">
        <v>18</v>
      </c>
      <c r="B6" t="s">
        <v>19</v>
      </c>
      <c r="C6">
        <v>2022</v>
      </c>
      <c r="D6" t="s">
        <v>27</v>
      </c>
      <c r="E6" t="s">
        <v>20</v>
      </c>
      <c r="F6">
        <v>1180</v>
      </c>
      <c r="G6">
        <v>64.069999999999993</v>
      </c>
      <c r="H6">
        <v>60.53</v>
      </c>
      <c r="I6">
        <v>171</v>
      </c>
      <c r="J6" t="s">
        <v>28</v>
      </c>
      <c r="K6" s="14">
        <f>COUNTIFS(B:B,"Delta_Logistics",E:E,"Delivered") / COUNTIF(B:B,"Delta_Logistics")</f>
        <v>0.70175438596491224</v>
      </c>
      <c r="L6" s="15">
        <v>71425.399999999994</v>
      </c>
      <c r="M6" s="15">
        <v>4177.2</v>
      </c>
      <c r="N6" s="14">
        <f t="shared" si="0"/>
        <v>0.14491525423728813</v>
      </c>
      <c r="O6" s="1">
        <v>0.39</v>
      </c>
      <c r="P6" s="1">
        <f t="shared" si="1"/>
        <v>5.5252068050569571E-2</v>
      </c>
    </row>
    <row r="7" spans="1:16" x14ac:dyDescent="0.45">
      <c r="A7" t="s">
        <v>29</v>
      </c>
      <c r="B7" t="s">
        <v>30</v>
      </c>
      <c r="C7">
        <v>2022</v>
      </c>
      <c r="D7" t="s">
        <v>23</v>
      </c>
      <c r="E7" t="s">
        <v>20</v>
      </c>
      <c r="F7">
        <v>1145</v>
      </c>
      <c r="G7">
        <v>69.209999999999994</v>
      </c>
      <c r="H7">
        <v>63.57</v>
      </c>
      <c r="I7">
        <v>39</v>
      </c>
      <c r="J7" t="s">
        <v>17</v>
      </c>
      <c r="K7" s="14">
        <f>COUNTIFS(B:B,"Epsilon_Group",E:E,"Delivered") / COUNTIF(B:B,"Epsilon_Group")</f>
        <v>0.72289156626506024</v>
      </c>
      <c r="L7" s="15">
        <v>72787.649999999994</v>
      </c>
      <c r="M7" s="15">
        <v>6457.8</v>
      </c>
      <c r="N7" s="14">
        <f t="shared" si="0"/>
        <v>3.4061135371179038E-2</v>
      </c>
      <c r="O7" s="1">
        <v>0.98</v>
      </c>
      <c r="P7" s="1">
        <f t="shared" si="1"/>
        <v>8.1491114000866838E-2</v>
      </c>
    </row>
    <row r="8" spans="1:16" x14ac:dyDescent="0.45">
      <c r="A8" t="s">
        <v>21</v>
      </c>
      <c r="B8" t="s">
        <v>22</v>
      </c>
      <c r="C8">
        <v>2022</v>
      </c>
      <c r="D8" t="s">
        <v>23</v>
      </c>
      <c r="E8" t="s">
        <v>20</v>
      </c>
      <c r="F8">
        <v>1774</v>
      </c>
      <c r="G8">
        <v>51.37</v>
      </c>
      <c r="H8">
        <v>47.82</v>
      </c>
      <c r="I8">
        <v>96</v>
      </c>
      <c r="J8" t="s">
        <v>28</v>
      </c>
      <c r="K8" s="14">
        <f>COUNTIFS(B:B,"Gamma_Co",E:E,"Delivered") / COUNTIF(B:B,"Gamma_Co")</f>
        <v>0.72027972027972031</v>
      </c>
      <c r="L8" s="15">
        <v>84832.68</v>
      </c>
      <c r="M8" s="15">
        <v>6297.7</v>
      </c>
      <c r="N8" s="14">
        <f t="shared" si="0"/>
        <v>5.4114994363021418E-2</v>
      </c>
      <c r="O8" s="1">
        <v>0.14000000000000001</v>
      </c>
      <c r="P8" s="1">
        <f t="shared" si="1"/>
        <v>6.9106482382713594E-2</v>
      </c>
    </row>
    <row r="9" spans="1:16" x14ac:dyDescent="0.45">
      <c r="A9" t="s">
        <v>13</v>
      </c>
      <c r="B9" t="s">
        <v>14</v>
      </c>
      <c r="C9">
        <v>2022</v>
      </c>
      <c r="D9" t="s">
        <v>23</v>
      </c>
      <c r="E9" t="s">
        <v>20</v>
      </c>
      <c r="F9">
        <v>1094</v>
      </c>
      <c r="G9">
        <v>36.93</v>
      </c>
      <c r="H9">
        <v>32.78</v>
      </c>
      <c r="I9">
        <v>22</v>
      </c>
      <c r="J9" t="s">
        <v>17</v>
      </c>
      <c r="K9" s="14">
        <f>COUNTIFS(B:B,"Alpha_Inc",E:E,"Delivered")/COUNTIF(B:B,"Alpha_Inc")</f>
        <v>0.75886524822695034</v>
      </c>
      <c r="L9" s="15">
        <v>35861.32</v>
      </c>
      <c r="M9" s="15">
        <v>4540.1000000000004</v>
      </c>
      <c r="N9" s="14">
        <f t="shared" si="0"/>
        <v>2.0109689213893969E-2</v>
      </c>
      <c r="O9" s="1">
        <v>0.94</v>
      </c>
      <c r="P9" s="1">
        <f t="shared" si="1"/>
        <v>0.11237476306525856</v>
      </c>
    </row>
    <row r="10" spans="1:16" x14ac:dyDescent="0.45">
      <c r="A10" t="s">
        <v>21</v>
      </c>
      <c r="B10" t="s">
        <v>22</v>
      </c>
      <c r="C10">
        <v>2023</v>
      </c>
      <c r="D10" t="s">
        <v>27</v>
      </c>
      <c r="E10" t="s">
        <v>31</v>
      </c>
      <c r="F10">
        <v>1688</v>
      </c>
      <c r="G10">
        <v>43.93</v>
      </c>
      <c r="H10">
        <v>39.89</v>
      </c>
      <c r="I10">
        <v>89</v>
      </c>
      <c r="J10" t="s">
        <v>17</v>
      </c>
      <c r="K10" s="14">
        <f>COUNTIFS(B:B,"Gamma_Co",E:E,"Partially Delivered") / COUNTIF(B:B,"Gamma_Co")</f>
        <v>0.12587412587412589</v>
      </c>
      <c r="L10" s="15">
        <v>67334.320000000007</v>
      </c>
      <c r="M10" s="15">
        <v>6819.52</v>
      </c>
      <c r="N10" s="14">
        <f t="shared" si="0"/>
        <v>5.2725118483412325E-2</v>
      </c>
      <c r="O10" s="1">
        <v>0.86</v>
      </c>
      <c r="P10" s="1">
        <f t="shared" si="1"/>
        <v>9.1964488959708615E-2</v>
      </c>
    </row>
    <row r="11" spans="1:16" x14ac:dyDescent="0.45">
      <c r="A11" t="s">
        <v>21</v>
      </c>
      <c r="B11" t="s">
        <v>22</v>
      </c>
      <c r="C11">
        <v>2023</v>
      </c>
      <c r="D11" t="s">
        <v>27</v>
      </c>
      <c r="E11" t="s">
        <v>32</v>
      </c>
      <c r="F11">
        <v>171</v>
      </c>
      <c r="G11">
        <v>76.87</v>
      </c>
      <c r="H11">
        <v>70.2</v>
      </c>
      <c r="I11">
        <v>8</v>
      </c>
      <c r="J11" t="s">
        <v>17</v>
      </c>
      <c r="K11" s="14">
        <f>COUNTIFS(B:B,"Gamma_Co",E:E,"Pending") / COUNTIF(B:B,"Gamma_Co")</f>
        <v>0.11188811188811189</v>
      </c>
      <c r="L11" s="15">
        <v>12004.2</v>
      </c>
      <c r="M11" s="15">
        <v>1140.57</v>
      </c>
      <c r="N11" s="14">
        <f t="shared" si="0"/>
        <v>4.6783625730994149E-2</v>
      </c>
      <c r="O11" s="1">
        <v>0.86</v>
      </c>
      <c r="P11" s="1">
        <f t="shared" si="1"/>
        <v>8.6769871211135705E-2</v>
      </c>
    </row>
    <row r="12" spans="1:16" x14ac:dyDescent="0.45">
      <c r="A12" t="s">
        <v>29</v>
      </c>
      <c r="B12" t="s">
        <v>30</v>
      </c>
      <c r="C12">
        <v>2022</v>
      </c>
      <c r="D12" t="s">
        <v>27</v>
      </c>
      <c r="E12" t="s">
        <v>20</v>
      </c>
      <c r="F12">
        <v>5000</v>
      </c>
      <c r="G12">
        <v>78.489999999999995</v>
      </c>
      <c r="H12">
        <v>73.680000000000007</v>
      </c>
      <c r="I12">
        <v>18</v>
      </c>
      <c r="J12" t="s">
        <v>17</v>
      </c>
      <c r="K12" s="14">
        <f>COUNTIFS(B:B,"Epsilon_Group",E:E,"Delivered") / COUNTIF(B:B,"Epsilon_Group")</f>
        <v>0.72289156626506024</v>
      </c>
      <c r="L12" s="15">
        <v>368400</v>
      </c>
      <c r="M12" s="15">
        <v>24050</v>
      </c>
      <c r="N12" s="14">
        <f t="shared" si="0"/>
        <v>3.5999999999999999E-3</v>
      </c>
      <c r="O12" s="1">
        <v>0.98</v>
      </c>
      <c r="P12" s="1">
        <f t="shared" si="1"/>
        <v>6.1281691935278229E-2</v>
      </c>
    </row>
    <row r="13" spans="1:16" x14ac:dyDescent="0.45">
      <c r="A13" t="s">
        <v>24</v>
      </c>
      <c r="B13" t="s">
        <v>25</v>
      </c>
      <c r="C13">
        <v>2023</v>
      </c>
      <c r="D13" t="s">
        <v>27</v>
      </c>
      <c r="E13" t="s">
        <v>20</v>
      </c>
      <c r="F13">
        <v>5000</v>
      </c>
      <c r="G13">
        <v>88.96</v>
      </c>
      <c r="H13">
        <v>86.58</v>
      </c>
      <c r="I13">
        <v>115</v>
      </c>
      <c r="J13" t="s">
        <v>17</v>
      </c>
      <c r="K13" s="14">
        <f>COUNTIFS(B:B,"Beta_Supplies",E:E,"Delivered") / COUNTIF(B:B,"Beta_Supplies")</f>
        <v>0.70512820512820518</v>
      </c>
      <c r="L13" s="15">
        <v>432900</v>
      </c>
      <c r="M13" s="15">
        <v>11900</v>
      </c>
      <c r="N13" s="14">
        <f t="shared" si="0"/>
        <v>2.3E-2</v>
      </c>
      <c r="O13" s="1">
        <v>0.76</v>
      </c>
      <c r="P13" s="1">
        <f t="shared" si="1"/>
        <v>2.675359712230211E-2</v>
      </c>
    </row>
    <row r="14" spans="1:16" x14ac:dyDescent="0.45">
      <c r="A14" t="s">
        <v>24</v>
      </c>
      <c r="B14" t="s">
        <v>25</v>
      </c>
      <c r="C14">
        <v>2023</v>
      </c>
      <c r="D14" t="s">
        <v>33</v>
      </c>
      <c r="E14" t="s">
        <v>32</v>
      </c>
      <c r="F14">
        <v>5000</v>
      </c>
      <c r="G14">
        <v>86.74</v>
      </c>
      <c r="H14">
        <v>74.86</v>
      </c>
      <c r="I14">
        <v>51</v>
      </c>
      <c r="J14" t="s">
        <v>17</v>
      </c>
      <c r="K14" s="14">
        <f>COUNTIFS(B:B,"Beta_Supplies",E:E,"Pending") / COUNTIF(B:B,"Beta_Supplies")</f>
        <v>0.12179487179487179</v>
      </c>
      <c r="L14" s="15">
        <v>374300</v>
      </c>
      <c r="M14" s="15">
        <v>59400</v>
      </c>
      <c r="N14" s="14">
        <f t="shared" si="0"/>
        <v>1.0200000000000001E-2</v>
      </c>
      <c r="O14" s="1">
        <v>0.76</v>
      </c>
      <c r="P14" s="1">
        <f t="shared" si="1"/>
        <v>0.13696103297210049</v>
      </c>
    </row>
    <row r="15" spans="1:16" x14ac:dyDescent="0.45">
      <c r="A15" t="s">
        <v>24</v>
      </c>
      <c r="B15" t="s">
        <v>25</v>
      </c>
      <c r="C15">
        <v>2022</v>
      </c>
      <c r="D15" t="s">
        <v>23</v>
      </c>
      <c r="E15" t="s">
        <v>20</v>
      </c>
      <c r="F15">
        <v>5000</v>
      </c>
      <c r="G15">
        <v>18.3</v>
      </c>
      <c r="H15">
        <v>16.88</v>
      </c>
      <c r="I15">
        <v>105</v>
      </c>
      <c r="J15" t="s">
        <v>17</v>
      </c>
      <c r="K15" s="14">
        <f>COUNTIFS(B:B,"Beta_Supplies",E:E,"Delivered") / COUNTIF(B:B,"Beta_Supplies")</f>
        <v>0.70512820512820518</v>
      </c>
      <c r="L15" s="15">
        <v>84400</v>
      </c>
      <c r="M15" s="15">
        <v>7100</v>
      </c>
      <c r="N15" s="14">
        <f t="shared" si="0"/>
        <v>2.1000000000000001E-2</v>
      </c>
      <c r="O15" s="1">
        <v>0.76</v>
      </c>
      <c r="P15" s="1">
        <f t="shared" si="1"/>
        <v>7.7595628415300641E-2</v>
      </c>
    </row>
    <row r="16" spans="1:16" x14ac:dyDescent="0.45">
      <c r="A16" t="s">
        <v>18</v>
      </c>
      <c r="B16" t="s">
        <v>19</v>
      </c>
      <c r="C16">
        <v>2022</v>
      </c>
      <c r="D16" t="s">
        <v>33</v>
      </c>
      <c r="E16" t="s">
        <v>32</v>
      </c>
      <c r="F16">
        <v>5000</v>
      </c>
      <c r="G16">
        <v>54.5</v>
      </c>
      <c r="H16">
        <v>48.45</v>
      </c>
      <c r="I16">
        <v>22</v>
      </c>
      <c r="J16" t="s">
        <v>17</v>
      </c>
      <c r="K16" s="14">
        <f>COUNTIFS(B:B,"Delta_Logistics",E:E,"Pending") / COUNTIF(B:B,"Delta_Logistics")</f>
        <v>9.9415204678362568E-2</v>
      </c>
      <c r="L16" s="15">
        <v>242250</v>
      </c>
      <c r="M16" s="15">
        <v>30250</v>
      </c>
      <c r="N16" s="14">
        <f t="shared" si="0"/>
        <v>4.4000000000000003E-3</v>
      </c>
      <c r="O16" s="1">
        <v>0.61</v>
      </c>
      <c r="P16" s="1">
        <f t="shared" si="1"/>
        <v>0.11100917431192656</v>
      </c>
    </row>
    <row r="17" spans="1:16" x14ac:dyDescent="0.45">
      <c r="A17" t="s">
        <v>24</v>
      </c>
      <c r="B17" t="s">
        <v>25</v>
      </c>
      <c r="C17">
        <v>2022</v>
      </c>
      <c r="D17" t="s">
        <v>26</v>
      </c>
      <c r="E17" t="s">
        <v>20</v>
      </c>
      <c r="F17">
        <v>5000</v>
      </c>
      <c r="G17">
        <v>15.41</v>
      </c>
      <c r="H17">
        <v>15.12</v>
      </c>
      <c r="I17">
        <v>105</v>
      </c>
      <c r="J17" t="s">
        <v>17</v>
      </c>
      <c r="K17" s="14">
        <f>COUNTIFS(B:B,"Beta_Supplies",E:E,"Delivered") / COUNTIF(B:B,"Beta_Supplies")</f>
        <v>0.70512820512820518</v>
      </c>
      <c r="L17" s="15">
        <v>75600</v>
      </c>
      <c r="M17" s="15">
        <v>1450</v>
      </c>
      <c r="N17" s="14">
        <f t="shared" si="0"/>
        <v>2.1000000000000001E-2</v>
      </c>
      <c r="O17" s="1">
        <v>0.76</v>
      </c>
      <c r="P17" s="1">
        <f t="shared" si="1"/>
        <v>1.881894873458799E-2</v>
      </c>
    </row>
    <row r="18" spans="1:16" x14ac:dyDescent="0.45">
      <c r="A18" t="s">
        <v>18</v>
      </c>
      <c r="B18" t="s">
        <v>19</v>
      </c>
      <c r="C18">
        <v>2022</v>
      </c>
      <c r="D18" t="s">
        <v>23</v>
      </c>
      <c r="E18" t="s">
        <v>20</v>
      </c>
      <c r="F18">
        <v>1173</v>
      </c>
      <c r="G18">
        <v>61.54</v>
      </c>
      <c r="H18">
        <v>55.49</v>
      </c>
      <c r="I18">
        <v>172</v>
      </c>
      <c r="J18" t="s">
        <v>28</v>
      </c>
      <c r="K18" s="14">
        <f>COUNTIFS(B:B,"Delta_Logistics",E:E,"Delivered") / COUNTIF(B:B,"Delta_Logistics")</f>
        <v>0.70175438596491224</v>
      </c>
      <c r="L18" s="15">
        <v>65089.77</v>
      </c>
      <c r="M18" s="15">
        <v>7096.65</v>
      </c>
      <c r="N18" s="14">
        <f t="shared" si="0"/>
        <v>0.14663256606990621</v>
      </c>
      <c r="O18" s="1">
        <v>0.39</v>
      </c>
      <c r="P18" s="1">
        <f t="shared" si="1"/>
        <v>9.8310042248943727E-2</v>
      </c>
    </row>
    <row r="19" spans="1:16" x14ac:dyDescent="0.45">
      <c r="A19" t="s">
        <v>29</v>
      </c>
      <c r="B19" t="s">
        <v>30</v>
      </c>
      <c r="C19">
        <v>2022</v>
      </c>
      <c r="D19" t="s">
        <v>27</v>
      </c>
      <c r="E19" t="s">
        <v>20</v>
      </c>
      <c r="F19">
        <v>921</v>
      </c>
      <c r="G19">
        <v>51.48</v>
      </c>
      <c r="H19">
        <v>50.61</v>
      </c>
      <c r="I19">
        <v>33</v>
      </c>
      <c r="J19" t="s">
        <v>17</v>
      </c>
      <c r="K19" s="14">
        <f>COUNTIFS(B:B,"Epsilon_Group",E:E,"Delivered") / COUNTIF(B:B,"Epsilon_Group")</f>
        <v>0.72289156626506024</v>
      </c>
      <c r="L19" s="15">
        <v>46611.81</v>
      </c>
      <c r="M19" s="15">
        <v>801.27</v>
      </c>
      <c r="N19" s="14">
        <f t="shared" si="0"/>
        <v>3.5830618892508145E-2</v>
      </c>
      <c r="O19" s="1">
        <v>0.98</v>
      </c>
      <c r="P19" s="1">
        <f t="shared" si="1"/>
        <v>1.6899766899766851E-2</v>
      </c>
    </row>
    <row r="20" spans="1:16" x14ac:dyDescent="0.45">
      <c r="A20" t="s">
        <v>21</v>
      </c>
      <c r="B20" t="s">
        <v>22</v>
      </c>
      <c r="C20">
        <v>2023</v>
      </c>
      <c r="D20" t="s">
        <v>27</v>
      </c>
      <c r="E20" t="s">
        <v>31</v>
      </c>
      <c r="F20">
        <v>1737</v>
      </c>
      <c r="G20">
        <v>97.53</v>
      </c>
      <c r="H20">
        <v>87.37</v>
      </c>
      <c r="I20">
        <v>79</v>
      </c>
      <c r="J20" t="s">
        <v>17</v>
      </c>
      <c r="K20" s="14">
        <f>COUNTIFS(B:B,"Gamma_Co",E:E,"Partially Delivered") / COUNTIF(B:B,"Gamma_Co")</f>
        <v>0.12587412587412589</v>
      </c>
      <c r="L20" s="15">
        <v>151761.69</v>
      </c>
      <c r="M20" s="15">
        <v>17647.919999999998</v>
      </c>
      <c r="N20" s="14">
        <f t="shared" si="0"/>
        <v>4.5480713874496259E-2</v>
      </c>
      <c r="O20" s="1">
        <v>0.86</v>
      </c>
      <c r="P20" s="1">
        <f t="shared" si="1"/>
        <v>0.104173074951297</v>
      </c>
    </row>
    <row r="21" spans="1:16" x14ac:dyDescent="0.45">
      <c r="A21" t="s">
        <v>18</v>
      </c>
      <c r="B21" t="s">
        <v>19</v>
      </c>
      <c r="C21">
        <v>2023</v>
      </c>
      <c r="D21" t="s">
        <v>27</v>
      </c>
      <c r="E21" t="s">
        <v>20</v>
      </c>
      <c r="F21">
        <v>180</v>
      </c>
      <c r="G21">
        <v>45.74</v>
      </c>
      <c r="H21">
        <v>38.89</v>
      </c>
      <c r="I21">
        <v>155</v>
      </c>
      <c r="J21" t="s">
        <v>28</v>
      </c>
      <c r="K21" s="14">
        <f>COUNTIFS(B:B,"Delta_Logistics",E:E,"Delivered") / COUNTIF(B:B,"Delta_Logistics")</f>
        <v>0.70175438596491224</v>
      </c>
      <c r="L21" s="15">
        <v>7000.2</v>
      </c>
      <c r="M21" s="15">
        <v>1233</v>
      </c>
      <c r="N21" s="14">
        <f t="shared" si="0"/>
        <v>0.86111111111111116</v>
      </c>
      <c r="O21" s="1">
        <v>0.39</v>
      </c>
      <c r="P21" s="1">
        <f t="shared" si="1"/>
        <v>0.14975951027547008</v>
      </c>
    </row>
    <row r="22" spans="1:16" x14ac:dyDescent="0.45">
      <c r="A22" t="s">
        <v>29</v>
      </c>
      <c r="B22" t="s">
        <v>30</v>
      </c>
      <c r="C22">
        <v>2022</v>
      </c>
      <c r="D22" t="s">
        <v>33</v>
      </c>
      <c r="E22" t="s">
        <v>16</v>
      </c>
      <c r="F22">
        <v>1735</v>
      </c>
      <c r="G22">
        <v>20.54</v>
      </c>
      <c r="H22">
        <v>19.690000000000001</v>
      </c>
      <c r="I22">
        <v>49</v>
      </c>
      <c r="J22" t="s">
        <v>17</v>
      </c>
      <c r="K22" s="14">
        <f>COUNTIFS(B:B,"Epsilon_Group",E:E,"Cancelled") / COUNTIF(B:B,"Epsilon_Group")</f>
        <v>8.4337349397590355E-2</v>
      </c>
      <c r="L22" s="15">
        <v>34162.15</v>
      </c>
      <c r="M22" s="15">
        <v>1474.75</v>
      </c>
      <c r="N22" s="14">
        <f t="shared" si="0"/>
        <v>2.824207492795389E-2</v>
      </c>
      <c r="O22" s="1">
        <v>0.98</v>
      </c>
      <c r="P22" s="1">
        <f t="shared" si="1"/>
        <v>4.1382667964946343E-2</v>
      </c>
    </row>
    <row r="23" spans="1:16" x14ac:dyDescent="0.45">
      <c r="A23" t="s">
        <v>18</v>
      </c>
      <c r="B23" t="s">
        <v>19</v>
      </c>
      <c r="C23">
        <v>2023</v>
      </c>
      <c r="D23" t="s">
        <v>27</v>
      </c>
      <c r="E23" t="s">
        <v>20</v>
      </c>
      <c r="F23">
        <v>1382</v>
      </c>
      <c r="G23">
        <v>24.93</v>
      </c>
      <c r="H23">
        <v>23.75</v>
      </c>
      <c r="I23">
        <v>155</v>
      </c>
      <c r="J23" t="s">
        <v>17</v>
      </c>
      <c r="K23" s="14">
        <f>COUNTIFS(B:B,"Delta_Logistics",E:E,"Delivered") / COUNTIF(B:B,"Delta_Logistics")</f>
        <v>0.70175438596491224</v>
      </c>
      <c r="L23" s="15">
        <v>32822.5</v>
      </c>
      <c r="M23" s="15">
        <v>1630.76</v>
      </c>
      <c r="N23" s="14">
        <f t="shared" si="0"/>
        <v>0.11215629522431259</v>
      </c>
      <c r="O23" s="1">
        <v>0.61</v>
      </c>
      <c r="P23" s="1">
        <f t="shared" si="1"/>
        <v>4.733253108704371E-2</v>
      </c>
    </row>
    <row r="24" spans="1:16" x14ac:dyDescent="0.45">
      <c r="A24" t="s">
        <v>29</v>
      </c>
      <c r="B24" t="s">
        <v>30</v>
      </c>
      <c r="C24">
        <v>2022</v>
      </c>
      <c r="D24" t="s">
        <v>23</v>
      </c>
      <c r="E24" t="s">
        <v>20</v>
      </c>
      <c r="F24">
        <v>819</v>
      </c>
      <c r="G24">
        <v>80.89</v>
      </c>
      <c r="H24">
        <v>77.03</v>
      </c>
      <c r="I24">
        <v>29</v>
      </c>
      <c r="J24" t="s">
        <v>17</v>
      </c>
      <c r="K24" s="14">
        <f>COUNTIFS(B:B,"Epsilon_Group",E:E,"Delivered") / COUNTIF(B:B,"Epsilon_Group")</f>
        <v>0.72289156626506024</v>
      </c>
      <c r="L24" s="15">
        <v>63087.57</v>
      </c>
      <c r="M24" s="15">
        <v>3161.34</v>
      </c>
      <c r="N24" s="14">
        <f t="shared" si="0"/>
        <v>3.5409035409035408E-2</v>
      </c>
      <c r="O24" s="1">
        <v>0.98</v>
      </c>
      <c r="P24" s="1">
        <f t="shared" si="1"/>
        <v>4.7719124737297558E-2</v>
      </c>
    </row>
    <row r="25" spans="1:16" x14ac:dyDescent="0.45">
      <c r="A25" t="s">
        <v>24</v>
      </c>
      <c r="B25" t="s">
        <v>25</v>
      </c>
      <c r="C25">
        <v>2023</v>
      </c>
      <c r="D25" t="s">
        <v>15</v>
      </c>
      <c r="E25" t="s">
        <v>31</v>
      </c>
      <c r="F25">
        <v>393</v>
      </c>
      <c r="G25">
        <v>72.53</v>
      </c>
      <c r="H25">
        <v>66.31</v>
      </c>
      <c r="I25">
        <v>42</v>
      </c>
      <c r="J25" t="s">
        <v>28</v>
      </c>
      <c r="K25" s="14">
        <f>COUNTIFS(B:B,"Beta_Supplies",E:E,"Partially Delivered") / COUNTIF(B:B,"Beta_Supplies")</f>
        <v>8.3333333333333329E-2</v>
      </c>
      <c r="L25" s="15">
        <v>26059.83</v>
      </c>
      <c r="M25" s="15">
        <v>2444.46</v>
      </c>
      <c r="N25" s="14">
        <f t="shared" si="0"/>
        <v>0.10687022900763359</v>
      </c>
      <c r="O25" s="1">
        <v>0.24</v>
      </c>
      <c r="P25" s="1">
        <f t="shared" si="1"/>
        <v>8.5757617537570649E-2</v>
      </c>
    </row>
    <row r="26" spans="1:16" x14ac:dyDescent="0.45">
      <c r="A26" t="s">
        <v>24</v>
      </c>
      <c r="B26" t="s">
        <v>25</v>
      </c>
      <c r="C26">
        <v>2023</v>
      </c>
      <c r="D26" t="s">
        <v>23</v>
      </c>
      <c r="E26" t="s">
        <v>20</v>
      </c>
      <c r="F26">
        <v>1565</v>
      </c>
      <c r="G26">
        <v>21.3</v>
      </c>
      <c r="H26">
        <v>20.09</v>
      </c>
      <c r="I26">
        <v>161</v>
      </c>
      <c r="J26" t="s">
        <v>17</v>
      </c>
      <c r="K26" s="14">
        <f>COUNTIFS(B:B,"Beta_Supplies",E:E,"Delivered") / COUNTIF(B:B,"Beta_Supplies")</f>
        <v>0.70512820512820518</v>
      </c>
      <c r="L26" s="15">
        <v>31440.85</v>
      </c>
      <c r="M26" s="15">
        <v>1893.65</v>
      </c>
      <c r="N26" s="14">
        <f t="shared" si="0"/>
        <v>0.10287539936102237</v>
      </c>
      <c r="O26" s="1">
        <v>0.76</v>
      </c>
      <c r="P26" s="1">
        <f t="shared" si="1"/>
        <v>5.6807511737089242E-2</v>
      </c>
    </row>
    <row r="27" spans="1:16" x14ac:dyDescent="0.45">
      <c r="A27" t="s">
        <v>29</v>
      </c>
      <c r="B27" t="s">
        <v>30</v>
      </c>
      <c r="C27">
        <v>2023</v>
      </c>
      <c r="D27" t="s">
        <v>26</v>
      </c>
      <c r="E27" t="s">
        <v>20</v>
      </c>
      <c r="F27">
        <v>1487</v>
      </c>
      <c r="G27">
        <v>19.149999999999999</v>
      </c>
      <c r="H27">
        <v>17.239999999999998</v>
      </c>
      <c r="I27">
        <v>33</v>
      </c>
      <c r="J27" t="s">
        <v>17</v>
      </c>
      <c r="K27" s="14">
        <f>COUNTIFS(B:B,"Epsilon_Group",E:E,"Delivered") / COUNTIF(B:B,"Epsilon_Group")</f>
        <v>0.72289156626506024</v>
      </c>
      <c r="L27" s="15">
        <v>25635.88</v>
      </c>
      <c r="M27" s="15">
        <v>2840.17</v>
      </c>
      <c r="N27" s="14">
        <f t="shared" si="0"/>
        <v>2.219233355749832E-2</v>
      </c>
      <c r="O27" s="1">
        <v>0.98</v>
      </c>
      <c r="P27" s="1">
        <f t="shared" si="1"/>
        <v>9.9738903394255896E-2</v>
      </c>
    </row>
    <row r="28" spans="1:16" x14ac:dyDescent="0.45">
      <c r="A28" t="s">
        <v>13</v>
      </c>
      <c r="B28" t="s">
        <v>14</v>
      </c>
      <c r="C28">
        <v>2023</v>
      </c>
      <c r="D28" t="s">
        <v>23</v>
      </c>
      <c r="E28" t="s">
        <v>20</v>
      </c>
      <c r="F28">
        <v>855</v>
      </c>
      <c r="G28">
        <v>78.2</v>
      </c>
      <c r="H28">
        <v>67.16</v>
      </c>
      <c r="I28">
        <v>17</v>
      </c>
      <c r="J28" t="s">
        <v>17</v>
      </c>
      <c r="K28" s="14">
        <f>COUNTIFS(B:B,"Alpha_Inc",E:E,"Delivered")/COUNTIF(B:B,"Alpha_Inc")</f>
        <v>0.75886524822695034</v>
      </c>
      <c r="L28" s="15">
        <v>57421.8</v>
      </c>
      <c r="M28" s="15">
        <v>9439.2000000000007</v>
      </c>
      <c r="N28" s="14">
        <f t="shared" si="0"/>
        <v>1.9883040935672516E-2</v>
      </c>
      <c r="O28" s="1">
        <v>0.94</v>
      </c>
      <c r="P28" s="1">
        <f t="shared" si="1"/>
        <v>0.14117647058823538</v>
      </c>
    </row>
    <row r="29" spans="1:16" x14ac:dyDescent="0.45">
      <c r="A29" t="s">
        <v>29</v>
      </c>
      <c r="B29" t="s">
        <v>30</v>
      </c>
      <c r="C29">
        <v>2022</v>
      </c>
      <c r="D29" t="s">
        <v>27</v>
      </c>
      <c r="E29" t="s">
        <v>20</v>
      </c>
      <c r="F29">
        <v>435</v>
      </c>
      <c r="G29">
        <v>17.13</v>
      </c>
      <c r="H29">
        <v>15.84</v>
      </c>
      <c r="I29">
        <v>8</v>
      </c>
      <c r="J29" t="s">
        <v>17</v>
      </c>
      <c r="K29" s="14">
        <f>COUNTIFS(B:B,"Epsilon_Group",E:E,"Delivered") / COUNTIF(B:B,"Epsilon_Group")</f>
        <v>0.72289156626506024</v>
      </c>
      <c r="L29" s="15">
        <v>6890.4</v>
      </c>
      <c r="M29" s="15">
        <v>561.15</v>
      </c>
      <c r="N29" s="14">
        <f t="shared" si="0"/>
        <v>1.8390804597701149E-2</v>
      </c>
      <c r="O29" s="1">
        <v>0.98</v>
      </c>
      <c r="P29" s="1">
        <f t="shared" si="1"/>
        <v>7.5306479859894873E-2</v>
      </c>
    </row>
    <row r="30" spans="1:16" x14ac:dyDescent="0.45">
      <c r="A30" t="s">
        <v>18</v>
      </c>
      <c r="B30" t="s">
        <v>19</v>
      </c>
      <c r="C30">
        <v>2023</v>
      </c>
      <c r="D30" t="s">
        <v>23</v>
      </c>
      <c r="E30" t="s">
        <v>20</v>
      </c>
      <c r="F30">
        <v>1265</v>
      </c>
      <c r="G30">
        <v>90.26</v>
      </c>
      <c r="H30">
        <v>79.47</v>
      </c>
      <c r="I30">
        <v>187</v>
      </c>
      <c r="J30" t="s">
        <v>17</v>
      </c>
      <c r="K30" s="14">
        <f>COUNTIFS(B:B,"Delta_Logistics",E:E,"Delivered") / COUNTIF(B:B,"Delta_Logistics")</f>
        <v>0.70175438596491224</v>
      </c>
      <c r="L30" s="15">
        <v>100529.55</v>
      </c>
      <c r="M30" s="15">
        <v>13649.35</v>
      </c>
      <c r="N30" s="14">
        <f t="shared" si="0"/>
        <v>0.14782608695652175</v>
      </c>
      <c r="O30" s="1">
        <v>0.61</v>
      </c>
      <c r="P30" s="1">
        <f t="shared" si="1"/>
        <v>0.11954354088189681</v>
      </c>
    </row>
    <row r="31" spans="1:16" x14ac:dyDescent="0.45">
      <c r="A31" t="s">
        <v>29</v>
      </c>
      <c r="B31" t="s">
        <v>30</v>
      </c>
      <c r="C31">
        <v>2023</v>
      </c>
      <c r="D31" t="s">
        <v>23</v>
      </c>
      <c r="E31" t="s">
        <v>20</v>
      </c>
      <c r="F31">
        <v>1005</v>
      </c>
      <c r="G31">
        <v>80.55</v>
      </c>
      <c r="H31">
        <v>73.31</v>
      </c>
      <c r="I31">
        <v>30</v>
      </c>
      <c r="J31" t="s">
        <v>17</v>
      </c>
      <c r="K31" s="14">
        <f>COUNTIFS(B:B,"Epsilon_Group",E:E,"Delivered") / COUNTIF(B:B,"Epsilon_Group")</f>
        <v>0.72289156626506024</v>
      </c>
      <c r="L31" s="15">
        <v>73676.55</v>
      </c>
      <c r="M31" s="15">
        <v>7276.2</v>
      </c>
      <c r="N31" s="14">
        <f t="shared" si="0"/>
        <v>2.9850746268656716E-2</v>
      </c>
      <c r="O31" s="1">
        <v>0.98</v>
      </c>
      <c r="P31" s="1">
        <f t="shared" si="1"/>
        <v>8.9882060831781435E-2</v>
      </c>
    </row>
    <row r="32" spans="1:16" x14ac:dyDescent="0.45">
      <c r="A32" t="s">
        <v>21</v>
      </c>
      <c r="B32" t="s">
        <v>22</v>
      </c>
      <c r="C32">
        <v>2022</v>
      </c>
      <c r="D32" t="s">
        <v>33</v>
      </c>
      <c r="E32" t="s">
        <v>20</v>
      </c>
      <c r="F32">
        <v>326</v>
      </c>
      <c r="G32">
        <v>18.100000000000001</v>
      </c>
      <c r="H32">
        <v>15.92</v>
      </c>
      <c r="I32">
        <v>55</v>
      </c>
      <c r="J32" t="s">
        <v>28</v>
      </c>
      <c r="K32" s="14">
        <f>COUNTIFS(B:B,"Gamma_Co",E:E,"Delivered") / COUNTIF(B:B,"Gamma_Co")</f>
        <v>0.72027972027972031</v>
      </c>
      <c r="L32" s="15">
        <v>5189.92</v>
      </c>
      <c r="M32" s="15">
        <v>710.68</v>
      </c>
      <c r="N32" s="14">
        <f t="shared" si="0"/>
        <v>0.16871165644171779</v>
      </c>
      <c r="O32" s="1">
        <v>0.14000000000000001</v>
      </c>
      <c r="P32" s="1">
        <f t="shared" si="1"/>
        <v>0.12044198895027632</v>
      </c>
    </row>
    <row r="33" spans="1:16" x14ac:dyDescent="0.45">
      <c r="A33" t="s">
        <v>13</v>
      </c>
      <c r="B33" t="s">
        <v>14</v>
      </c>
      <c r="C33">
        <v>2022</v>
      </c>
      <c r="D33" t="s">
        <v>15</v>
      </c>
      <c r="E33" t="s">
        <v>20</v>
      </c>
      <c r="F33">
        <v>1234</v>
      </c>
      <c r="G33">
        <v>17.64</v>
      </c>
      <c r="H33">
        <v>15.66</v>
      </c>
      <c r="I33">
        <v>26</v>
      </c>
      <c r="J33" t="s">
        <v>17</v>
      </c>
      <c r="K33" s="14">
        <f>COUNTIFS(B:B,"Alpha_Inc",E:E,"Delivered")/COUNTIF(B:B,"Alpha_Inc")</f>
        <v>0.75886524822695034</v>
      </c>
      <c r="L33" s="15">
        <v>19324.439999999999</v>
      </c>
      <c r="M33" s="15">
        <v>2443.3200000000002</v>
      </c>
      <c r="N33" s="14">
        <f t="shared" si="0"/>
        <v>2.1069692058346839E-2</v>
      </c>
      <c r="O33" s="1">
        <v>0.94</v>
      </c>
      <c r="P33" s="1">
        <f t="shared" si="1"/>
        <v>0.1122448979591837</v>
      </c>
    </row>
    <row r="34" spans="1:16" x14ac:dyDescent="0.45">
      <c r="A34" t="s">
        <v>29</v>
      </c>
      <c r="B34" t="s">
        <v>30</v>
      </c>
      <c r="C34">
        <v>2022</v>
      </c>
      <c r="D34" t="s">
        <v>23</v>
      </c>
      <c r="E34" t="s">
        <v>20</v>
      </c>
      <c r="F34">
        <v>509</v>
      </c>
      <c r="G34">
        <v>101.27</v>
      </c>
      <c r="H34">
        <v>97.82</v>
      </c>
      <c r="I34">
        <v>19</v>
      </c>
      <c r="J34" t="s">
        <v>17</v>
      </c>
      <c r="K34" s="14">
        <f>COUNTIFS(B:B,"Epsilon_Group",E:E,"Delivered") / COUNTIF(B:B,"Epsilon_Group")</f>
        <v>0.72289156626506024</v>
      </c>
      <c r="L34" s="15">
        <v>49790.38</v>
      </c>
      <c r="M34" s="15">
        <v>1756.05</v>
      </c>
      <c r="N34" s="14">
        <f t="shared" si="0"/>
        <v>3.732809430255403E-2</v>
      </c>
      <c r="O34" s="1">
        <v>0.98</v>
      </c>
      <c r="P34" s="1">
        <f t="shared" si="1"/>
        <v>3.4067344722030247E-2</v>
      </c>
    </row>
    <row r="35" spans="1:16" x14ac:dyDescent="0.45">
      <c r="A35" t="s">
        <v>13</v>
      </c>
      <c r="B35" t="s">
        <v>14</v>
      </c>
      <c r="C35">
        <v>2023</v>
      </c>
      <c r="D35" t="s">
        <v>26</v>
      </c>
      <c r="E35" t="s">
        <v>20</v>
      </c>
      <c r="F35">
        <v>1387</v>
      </c>
      <c r="G35">
        <v>48.71</v>
      </c>
      <c r="H35">
        <v>43.71</v>
      </c>
      <c r="I35">
        <v>27</v>
      </c>
      <c r="J35" t="s">
        <v>17</v>
      </c>
      <c r="K35" s="14">
        <f>COUNTIFS(B:B,"Alpha_Inc",E:E,"Delivered")/COUNTIF(B:B,"Alpha_Inc")</f>
        <v>0.75886524822695034</v>
      </c>
      <c r="L35" s="15">
        <v>60625.77</v>
      </c>
      <c r="M35" s="15">
        <v>6935</v>
      </c>
      <c r="N35" s="14">
        <f t="shared" si="0"/>
        <v>1.9466474405191059E-2</v>
      </c>
      <c r="O35" s="1">
        <v>0.94</v>
      </c>
      <c r="P35" s="1">
        <f t="shared" si="1"/>
        <v>0.10264832683227264</v>
      </c>
    </row>
    <row r="36" spans="1:16" x14ac:dyDescent="0.45">
      <c r="A36" t="s">
        <v>13</v>
      </c>
      <c r="B36" t="s">
        <v>14</v>
      </c>
      <c r="C36">
        <v>2023</v>
      </c>
      <c r="D36" t="s">
        <v>23</v>
      </c>
      <c r="E36" t="s">
        <v>20</v>
      </c>
      <c r="F36">
        <v>71</v>
      </c>
      <c r="G36">
        <v>46.39</v>
      </c>
      <c r="H36">
        <v>43.18</v>
      </c>
      <c r="I36">
        <v>0</v>
      </c>
      <c r="J36" t="s">
        <v>17</v>
      </c>
      <c r="K36" s="14">
        <f>COUNTIFS(B:B,"Alpha_Inc",E:E,"Delivered")/COUNTIF(B:B,"Alpha_Inc")</f>
        <v>0.75886524822695034</v>
      </c>
      <c r="L36" s="15">
        <v>3065.78</v>
      </c>
      <c r="M36" s="15">
        <v>227.91</v>
      </c>
      <c r="N36" s="14">
        <f t="shared" si="0"/>
        <v>0</v>
      </c>
      <c r="O36" s="1">
        <v>0.94</v>
      </c>
      <c r="P36" s="1">
        <f t="shared" si="1"/>
        <v>6.919594740245745E-2</v>
      </c>
    </row>
    <row r="37" spans="1:16" x14ac:dyDescent="0.45">
      <c r="A37" t="s">
        <v>29</v>
      </c>
      <c r="B37" t="s">
        <v>30</v>
      </c>
      <c r="C37">
        <v>2022</v>
      </c>
      <c r="D37" t="s">
        <v>15</v>
      </c>
      <c r="E37" t="s">
        <v>20</v>
      </c>
      <c r="F37">
        <v>302</v>
      </c>
      <c r="G37">
        <v>87.73</v>
      </c>
      <c r="H37">
        <v>81.52</v>
      </c>
      <c r="I37">
        <v>9</v>
      </c>
      <c r="J37" t="s">
        <v>17</v>
      </c>
      <c r="K37" s="14">
        <f>COUNTIFS(B:B,"Epsilon_Group",E:E,"Delivered") / COUNTIF(B:B,"Epsilon_Group")</f>
        <v>0.72289156626506024</v>
      </c>
      <c r="L37" s="15">
        <v>24619.040000000001</v>
      </c>
      <c r="M37" s="15">
        <v>1875.42</v>
      </c>
      <c r="N37" s="14">
        <f t="shared" si="0"/>
        <v>2.9801324503311258E-2</v>
      </c>
      <c r="O37" s="1">
        <v>0.98</v>
      </c>
      <c r="P37" s="1">
        <f t="shared" si="1"/>
        <v>7.0785364185569452E-2</v>
      </c>
    </row>
    <row r="38" spans="1:16" x14ac:dyDescent="0.45">
      <c r="A38" t="s">
        <v>29</v>
      </c>
      <c r="B38" t="s">
        <v>30</v>
      </c>
      <c r="C38">
        <v>2022</v>
      </c>
      <c r="D38" t="s">
        <v>15</v>
      </c>
      <c r="E38" t="s">
        <v>32</v>
      </c>
      <c r="F38">
        <v>797</v>
      </c>
      <c r="G38">
        <v>99.54</v>
      </c>
      <c r="H38">
        <v>91.37</v>
      </c>
      <c r="I38">
        <v>18</v>
      </c>
      <c r="J38" t="s">
        <v>17</v>
      </c>
      <c r="K38" s="14">
        <f>COUNTIFS(B:B,"Epsilon_Group",E:E,"Pending") / COUNTIF(B:B,"Epsilon_Group")</f>
        <v>0.10843373493975904</v>
      </c>
      <c r="L38" s="15">
        <v>72821.89</v>
      </c>
      <c r="M38" s="15">
        <v>6511.49</v>
      </c>
      <c r="N38" s="14">
        <f t="shared" si="0"/>
        <v>2.258469259723965E-2</v>
      </c>
      <c r="O38" s="1">
        <v>0.98</v>
      </c>
      <c r="P38" s="1">
        <f t="shared" si="1"/>
        <v>8.2077556761101081E-2</v>
      </c>
    </row>
    <row r="39" spans="1:16" x14ac:dyDescent="0.45">
      <c r="A39" t="s">
        <v>24</v>
      </c>
      <c r="B39" t="s">
        <v>25</v>
      </c>
      <c r="C39">
        <v>2022</v>
      </c>
      <c r="D39" t="s">
        <v>15</v>
      </c>
      <c r="E39" t="s">
        <v>32</v>
      </c>
      <c r="F39">
        <v>906</v>
      </c>
      <c r="G39">
        <v>101.21</v>
      </c>
      <c r="H39">
        <v>90.9</v>
      </c>
      <c r="I39">
        <v>94</v>
      </c>
      <c r="J39" t="s">
        <v>17</v>
      </c>
      <c r="K39" s="14">
        <f>COUNTIFS(B:B,"Beta_Supplies",E:E,"Pending") / COUNTIF(B:B,"Beta_Supplies")</f>
        <v>0.12179487179487179</v>
      </c>
      <c r="L39" s="15">
        <v>82355.399999999994</v>
      </c>
      <c r="M39" s="15">
        <v>9340.86</v>
      </c>
      <c r="N39" s="14">
        <f t="shared" si="0"/>
        <v>0.10375275938189846</v>
      </c>
      <c r="O39" s="1">
        <v>0.76</v>
      </c>
      <c r="P39" s="1">
        <f t="shared" si="1"/>
        <v>0.10186740440667907</v>
      </c>
    </row>
    <row r="40" spans="1:16" x14ac:dyDescent="0.45">
      <c r="A40" t="s">
        <v>29</v>
      </c>
      <c r="B40" t="s">
        <v>30</v>
      </c>
      <c r="C40">
        <v>2022</v>
      </c>
      <c r="D40" t="s">
        <v>15</v>
      </c>
      <c r="E40" t="s">
        <v>20</v>
      </c>
      <c r="F40">
        <v>1634</v>
      </c>
      <c r="G40">
        <v>80.53</v>
      </c>
      <c r="H40">
        <v>76.150000000000006</v>
      </c>
      <c r="I40">
        <v>50</v>
      </c>
      <c r="J40" t="s">
        <v>17</v>
      </c>
      <c r="K40" s="14">
        <f>COUNTIFS(B:B,"Epsilon_Group",E:E,"Delivered") / COUNTIF(B:B,"Epsilon_Group")</f>
        <v>0.72289156626506024</v>
      </c>
      <c r="L40" s="15">
        <v>124429.1</v>
      </c>
      <c r="M40" s="15">
        <v>7156.92</v>
      </c>
      <c r="N40" s="14">
        <f t="shared" si="0"/>
        <v>3.0599755201958383E-2</v>
      </c>
      <c r="O40" s="1">
        <v>0.98</v>
      </c>
      <c r="P40" s="1">
        <f t="shared" si="1"/>
        <v>5.4389668446541604E-2</v>
      </c>
    </row>
    <row r="41" spans="1:16" x14ac:dyDescent="0.45">
      <c r="A41" t="s">
        <v>29</v>
      </c>
      <c r="B41" t="s">
        <v>30</v>
      </c>
      <c r="C41">
        <v>2022</v>
      </c>
      <c r="D41" t="s">
        <v>15</v>
      </c>
      <c r="E41" t="s">
        <v>20</v>
      </c>
      <c r="F41">
        <v>524</v>
      </c>
      <c r="G41">
        <v>46.28</v>
      </c>
      <c r="H41">
        <v>39.65</v>
      </c>
      <c r="I41">
        <v>14</v>
      </c>
      <c r="J41" t="s">
        <v>17</v>
      </c>
      <c r="K41" s="14">
        <f>COUNTIFS(B:B,"Epsilon_Group",E:E,"Delivered") / COUNTIF(B:B,"Epsilon_Group")</f>
        <v>0.72289156626506024</v>
      </c>
      <c r="L41" s="15">
        <v>20776.599999999999</v>
      </c>
      <c r="M41" s="15">
        <v>3474.12</v>
      </c>
      <c r="N41" s="14">
        <f t="shared" si="0"/>
        <v>2.6717557251908396E-2</v>
      </c>
      <c r="O41" s="1">
        <v>0.98</v>
      </c>
      <c r="P41" s="1">
        <f t="shared" si="1"/>
        <v>0.14325842696629218</v>
      </c>
    </row>
    <row r="42" spans="1:16" x14ac:dyDescent="0.45">
      <c r="A42" t="s">
        <v>24</v>
      </c>
      <c r="B42" t="s">
        <v>25</v>
      </c>
      <c r="C42">
        <v>2022</v>
      </c>
      <c r="D42" t="s">
        <v>33</v>
      </c>
      <c r="E42" t="s">
        <v>20</v>
      </c>
      <c r="F42">
        <v>1132</v>
      </c>
      <c r="G42">
        <v>17.78</v>
      </c>
      <c r="H42">
        <v>15.36</v>
      </c>
      <c r="I42">
        <v>96</v>
      </c>
      <c r="J42" t="s">
        <v>17</v>
      </c>
      <c r="K42" s="14">
        <f>COUNTIFS(B:B,"Beta_Supplies",E:E,"Delivered") / COUNTIF(B:B,"Beta_Supplies")</f>
        <v>0.70512820512820518</v>
      </c>
      <c r="L42" s="15">
        <v>17387.52</v>
      </c>
      <c r="M42" s="15">
        <v>2739.44</v>
      </c>
      <c r="N42" s="14">
        <f t="shared" si="0"/>
        <v>8.4805653710247356E-2</v>
      </c>
      <c r="O42" s="1">
        <v>0.76</v>
      </c>
      <c r="P42" s="1">
        <f t="shared" si="1"/>
        <v>0.13610798650168737</v>
      </c>
    </row>
    <row r="43" spans="1:16" x14ac:dyDescent="0.45">
      <c r="A43" t="s">
        <v>24</v>
      </c>
      <c r="B43" t="s">
        <v>25</v>
      </c>
      <c r="C43">
        <v>2022</v>
      </c>
      <c r="D43" t="s">
        <v>15</v>
      </c>
      <c r="E43" t="s">
        <v>20</v>
      </c>
      <c r="F43">
        <v>560</v>
      </c>
      <c r="G43">
        <v>81.14</v>
      </c>
      <c r="H43">
        <v>77.87</v>
      </c>
      <c r="I43">
        <v>34</v>
      </c>
      <c r="J43" t="s">
        <v>28</v>
      </c>
      <c r="K43" s="14">
        <f>COUNTIFS(B:B,"Beta_Supplies",E:E,"Delivered") / COUNTIF(B:B,"Beta_Supplies")</f>
        <v>0.70512820512820518</v>
      </c>
      <c r="L43" s="15">
        <v>43607.199999999997</v>
      </c>
      <c r="M43" s="15">
        <v>1831.2</v>
      </c>
      <c r="N43" s="14">
        <f t="shared" si="0"/>
        <v>6.0714285714285714E-2</v>
      </c>
      <c r="O43" s="1">
        <v>0.24</v>
      </c>
      <c r="P43" s="1">
        <f t="shared" si="1"/>
        <v>4.030071481390185E-2</v>
      </c>
    </row>
    <row r="44" spans="1:16" x14ac:dyDescent="0.45">
      <c r="A44" t="s">
        <v>21</v>
      </c>
      <c r="B44" t="s">
        <v>22</v>
      </c>
      <c r="C44">
        <v>2023</v>
      </c>
      <c r="D44" t="s">
        <v>33</v>
      </c>
      <c r="E44" t="s">
        <v>20</v>
      </c>
      <c r="F44">
        <v>1755</v>
      </c>
      <c r="G44">
        <v>63.87</v>
      </c>
      <c r="H44">
        <v>58.4</v>
      </c>
      <c r="I44">
        <v>85</v>
      </c>
      <c r="J44" t="s">
        <v>17</v>
      </c>
      <c r="K44" s="14">
        <f>COUNTIFS(B:B,"Gamma_Co",E:E,"Delivered") / COUNTIF(B:B,"Gamma_Co")</f>
        <v>0.72027972027972031</v>
      </c>
      <c r="L44" s="15">
        <v>102492</v>
      </c>
      <c r="M44" s="15">
        <v>9599.85</v>
      </c>
      <c r="N44" s="14">
        <f t="shared" si="0"/>
        <v>4.843304843304843E-2</v>
      </c>
      <c r="O44" s="1">
        <v>0.86</v>
      </c>
      <c r="P44" s="1">
        <f t="shared" si="1"/>
        <v>8.5642711758258952E-2</v>
      </c>
    </row>
    <row r="45" spans="1:16" x14ac:dyDescent="0.45">
      <c r="A45" t="s">
        <v>29</v>
      </c>
      <c r="B45" t="s">
        <v>30</v>
      </c>
      <c r="C45">
        <v>2022</v>
      </c>
      <c r="D45" t="s">
        <v>23</v>
      </c>
      <c r="E45" t="s">
        <v>20</v>
      </c>
      <c r="F45">
        <v>1549</v>
      </c>
      <c r="G45">
        <v>48.9</v>
      </c>
      <c r="H45">
        <v>42.42</v>
      </c>
      <c r="I45">
        <v>48</v>
      </c>
      <c r="J45" t="s">
        <v>17</v>
      </c>
      <c r="K45" s="14">
        <f>COUNTIFS(B:B,"Epsilon_Group",E:E,"Delivered") / COUNTIF(B:B,"Epsilon_Group")</f>
        <v>0.72289156626506024</v>
      </c>
      <c r="L45" s="15">
        <v>65708.58</v>
      </c>
      <c r="M45" s="15">
        <v>10037.52</v>
      </c>
      <c r="N45" s="14">
        <f t="shared" si="0"/>
        <v>3.0987734021949646E-2</v>
      </c>
      <c r="O45" s="1">
        <v>0.98</v>
      </c>
      <c r="P45" s="1">
        <f t="shared" si="1"/>
        <v>0.13251533742331281</v>
      </c>
    </row>
    <row r="46" spans="1:16" x14ac:dyDescent="0.45">
      <c r="A46" t="s">
        <v>18</v>
      </c>
      <c r="B46" t="s">
        <v>19</v>
      </c>
      <c r="C46">
        <v>2023</v>
      </c>
      <c r="D46" t="s">
        <v>23</v>
      </c>
      <c r="E46" t="s">
        <v>20</v>
      </c>
      <c r="F46">
        <v>749</v>
      </c>
      <c r="G46">
        <v>97.07</v>
      </c>
      <c r="H46">
        <v>94.16</v>
      </c>
      <c r="I46">
        <v>123</v>
      </c>
      <c r="J46" t="s">
        <v>17</v>
      </c>
      <c r="K46" s="14">
        <f>COUNTIFS(B:B,"Delta_Logistics",E:E,"Delivered") / COUNTIF(B:B,"Delta_Logistics")</f>
        <v>0.70175438596491224</v>
      </c>
      <c r="L46" s="15">
        <v>70525.84</v>
      </c>
      <c r="M46" s="15">
        <v>2179.59</v>
      </c>
      <c r="N46" s="14">
        <f t="shared" si="0"/>
        <v>0.16421895861148197</v>
      </c>
      <c r="O46" s="1">
        <v>0.61</v>
      </c>
      <c r="P46" s="1">
        <f t="shared" si="1"/>
        <v>2.9978366127536796E-2</v>
      </c>
    </row>
    <row r="47" spans="1:16" x14ac:dyDescent="0.45">
      <c r="A47" t="s">
        <v>13</v>
      </c>
      <c r="B47" t="s">
        <v>14</v>
      </c>
      <c r="C47">
        <v>2022</v>
      </c>
      <c r="D47" t="s">
        <v>33</v>
      </c>
      <c r="E47" t="s">
        <v>20</v>
      </c>
      <c r="F47">
        <v>1025</v>
      </c>
      <c r="G47">
        <v>21.11</v>
      </c>
      <c r="H47">
        <v>19.25</v>
      </c>
      <c r="I47">
        <v>15</v>
      </c>
      <c r="J47" t="s">
        <v>17</v>
      </c>
      <c r="K47" s="14">
        <f>COUNTIFS(B:B,"Alpha_Inc",E:E,"Delivered")/COUNTIF(B:B,"Alpha_Inc")</f>
        <v>0.75886524822695034</v>
      </c>
      <c r="L47" s="15">
        <v>19731.25</v>
      </c>
      <c r="M47" s="15">
        <v>1906.5</v>
      </c>
      <c r="N47" s="14">
        <f t="shared" si="0"/>
        <v>1.4634146341463415E-2</v>
      </c>
      <c r="O47" s="1">
        <v>0.94</v>
      </c>
      <c r="P47" s="1">
        <f t="shared" si="1"/>
        <v>8.8109900521080031E-2</v>
      </c>
    </row>
    <row r="48" spans="1:16" x14ac:dyDescent="0.45">
      <c r="A48" t="s">
        <v>24</v>
      </c>
      <c r="B48" t="s">
        <v>25</v>
      </c>
      <c r="C48">
        <v>2023</v>
      </c>
      <c r="D48" t="s">
        <v>27</v>
      </c>
      <c r="E48" t="s">
        <v>20</v>
      </c>
      <c r="F48">
        <v>1856</v>
      </c>
      <c r="G48">
        <v>59.77</v>
      </c>
      <c r="H48">
        <v>50.81</v>
      </c>
      <c r="I48">
        <v>191</v>
      </c>
      <c r="J48" t="s">
        <v>17</v>
      </c>
      <c r="K48" s="14">
        <f>COUNTIFS(B:B,"Beta_Supplies",E:E,"Delivered") / COUNTIF(B:B,"Beta_Supplies")</f>
        <v>0.70512820512820518</v>
      </c>
      <c r="L48" s="15">
        <v>94303.360000000001</v>
      </c>
      <c r="M48" s="15">
        <v>16629.759999999998</v>
      </c>
      <c r="N48" s="14">
        <f t="shared" si="0"/>
        <v>0.10290948275862069</v>
      </c>
      <c r="O48" s="1">
        <v>0.76</v>
      </c>
      <c r="P48" s="1">
        <f t="shared" si="1"/>
        <v>0.14990798059227037</v>
      </c>
    </row>
    <row r="49" spans="1:16" x14ac:dyDescent="0.45">
      <c r="A49" t="s">
        <v>29</v>
      </c>
      <c r="B49" t="s">
        <v>30</v>
      </c>
      <c r="C49">
        <v>2022</v>
      </c>
      <c r="D49" t="s">
        <v>15</v>
      </c>
      <c r="E49" t="s">
        <v>20</v>
      </c>
      <c r="F49">
        <v>239</v>
      </c>
      <c r="G49">
        <v>11.46</v>
      </c>
      <c r="H49">
        <v>11.28</v>
      </c>
      <c r="I49">
        <v>4</v>
      </c>
      <c r="J49" t="s">
        <v>17</v>
      </c>
      <c r="K49" s="14">
        <f>COUNTIFS(B:B,"Epsilon_Group",E:E,"Delivered") / COUNTIF(B:B,"Epsilon_Group")</f>
        <v>0.72289156626506024</v>
      </c>
      <c r="L49" s="15">
        <v>2695.92</v>
      </c>
      <c r="M49" s="15">
        <v>43.02</v>
      </c>
      <c r="N49" s="14">
        <f t="shared" si="0"/>
        <v>1.6736401673640166E-2</v>
      </c>
      <c r="O49" s="1">
        <v>0.98</v>
      </c>
      <c r="P49" s="1">
        <f t="shared" si="1"/>
        <v>1.5706806282722641E-2</v>
      </c>
    </row>
    <row r="50" spans="1:16" x14ac:dyDescent="0.45">
      <c r="A50" t="s">
        <v>18</v>
      </c>
      <c r="B50" t="s">
        <v>19</v>
      </c>
      <c r="C50">
        <v>2022</v>
      </c>
      <c r="D50" t="s">
        <v>15</v>
      </c>
      <c r="E50" t="s">
        <v>32</v>
      </c>
      <c r="F50">
        <v>1007</v>
      </c>
      <c r="G50">
        <v>52.44</v>
      </c>
      <c r="H50">
        <v>46.06</v>
      </c>
      <c r="I50">
        <v>167</v>
      </c>
      <c r="J50" t="s">
        <v>17</v>
      </c>
      <c r="K50" s="14">
        <f>COUNTIFS(B:B,"Delta_Logistics",E:E,"Pending") / COUNTIF(B:B,"Delta_Logistics")</f>
        <v>9.9415204678362568E-2</v>
      </c>
      <c r="L50" s="15">
        <v>46382.42</v>
      </c>
      <c r="M50" s="15">
        <v>6424.66</v>
      </c>
      <c r="N50" s="14">
        <f t="shared" si="0"/>
        <v>0.16583912611717974</v>
      </c>
      <c r="O50" s="1">
        <v>0.61</v>
      </c>
      <c r="P50" s="1">
        <f t="shared" si="1"/>
        <v>0.12166285278413416</v>
      </c>
    </row>
    <row r="51" spans="1:16" x14ac:dyDescent="0.45">
      <c r="A51" t="s">
        <v>13</v>
      </c>
      <c r="B51" t="s">
        <v>14</v>
      </c>
      <c r="C51">
        <v>2023</v>
      </c>
      <c r="D51" t="s">
        <v>23</v>
      </c>
      <c r="E51" t="s">
        <v>32</v>
      </c>
      <c r="F51">
        <v>736</v>
      </c>
      <c r="G51">
        <v>16.2</v>
      </c>
      <c r="H51">
        <v>15.33</v>
      </c>
      <c r="I51">
        <v>18</v>
      </c>
      <c r="J51" t="s">
        <v>17</v>
      </c>
      <c r="K51" s="14">
        <f>COUNTIFS(B:B,"Alpha_Inc",E:E,"Pending")/COUNTIF(B:B,"Alpha_Inc")</f>
        <v>7.8014184397163122E-2</v>
      </c>
      <c r="L51" s="15">
        <v>11282.88</v>
      </c>
      <c r="M51" s="15">
        <v>640.32000000000005</v>
      </c>
      <c r="N51" s="14">
        <f t="shared" si="0"/>
        <v>2.4456521739130436E-2</v>
      </c>
      <c r="O51" s="1">
        <v>0.94</v>
      </c>
      <c r="P51" s="1">
        <f t="shared" si="1"/>
        <v>5.3703703703703656E-2</v>
      </c>
    </row>
    <row r="52" spans="1:16" x14ac:dyDescent="0.45">
      <c r="A52" t="s">
        <v>29</v>
      </c>
      <c r="B52" t="s">
        <v>30</v>
      </c>
      <c r="C52">
        <v>2023</v>
      </c>
      <c r="D52" t="s">
        <v>33</v>
      </c>
      <c r="E52" t="s">
        <v>20</v>
      </c>
      <c r="F52">
        <v>1007</v>
      </c>
      <c r="G52">
        <v>22.56</v>
      </c>
      <c r="H52">
        <v>19.59</v>
      </c>
      <c r="I52">
        <v>33</v>
      </c>
      <c r="J52" t="s">
        <v>17</v>
      </c>
      <c r="K52" s="14">
        <f>COUNTIFS(B:B,"Epsilon_Group",E:E,"Delivered") / COUNTIF(B:B,"Epsilon_Group")</f>
        <v>0.72289156626506024</v>
      </c>
      <c r="L52" s="15">
        <v>19727.13</v>
      </c>
      <c r="M52" s="15">
        <v>2990.79</v>
      </c>
      <c r="N52" s="14">
        <f t="shared" si="0"/>
        <v>3.2770605759682221E-2</v>
      </c>
      <c r="O52" s="1">
        <v>0.98</v>
      </c>
      <c r="P52" s="1">
        <f t="shared" si="1"/>
        <v>0.13164893617021273</v>
      </c>
    </row>
    <row r="53" spans="1:16" x14ac:dyDescent="0.45">
      <c r="A53" t="s">
        <v>18</v>
      </c>
      <c r="B53" t="s">
        <v>19</v>
      </c>
      <c r="C53">
        <v>2022</v>
      </c>
      <c r="D53" t="s">
        <v>15</v>
      </c>
      <c r="E53" t="s">
        <v>20</v>
      </c>
      <c r="F53">
        <v>612</v>
      </c>
      <c r="G53">
        <v>20.99</v>
      </c>
      <c r="H53">
        <v>19.75</v>
      </c>
      <c r="I53">
        <v>102</v>
      </c>
      <c r="J53" t="s">
        <v>17</v>
      </c>
      <c r="K53" s="14">
        <f>COUNTIFS(B:B,"Delta_Logistics",E:E,"Delivered") / COUNTIF(B:B,"Delta_Logistics")</f>
        <v>0.70175438596491224</v>
      </c>
      <c r="L53" s="15">
        <v>12087</v>
      </c>
      <c r="M53" s="15">
        <v>758.88</v>
      </c>
      <c r="N53" s="14">
        <f t="shared" si="0"/>
        <v>0.16666666666666666</v>
      </c>
      <c r="O53" s="1">
        <v>0.61</v>
      </c>
      <c r="P53" s="1">
        <f t="shared" si="1"/>
        <v>5.9075750357312939E-2</v>
      </c>
    </row>
    <row r="54" spans="1:16" x14ac:dyDescent="0.45">
      <c r="A54" t="s">
        <v>13</v>
      </c>
      <c r="B54" t="s">
        <v>14</v>
      </c>
      <c r="C54">
        <v>2023</v>
      </c>
      <c r="D54" t="s">
        <v>23</v>
      </c>
      <c r="E54" t="s">
        <v>32</v>
      </c>
      <c r="F54">
        <v>1949</v>
      </c>
      <c r="G54">
        <v>72.53</v>
      </c>
      <c r="H54">
        <v>63.26</v>
      </c>
      <c r="I54">
        <v>48</v>
      </c>
      <c r="J54" t="s">
        <v>28</v>
      </c>
      <c r="K54" s="14">
        <f>COUNTIFS(B:B,"Alpha_Inc",E:E,"Pending")/COUNTIF(B:B,"Alpha_Inc")</f>
        <v>7.8014184397163122E-2</v>
      </c>
      <c r="L54" s="15">
        <v>123293.74</v>
      </c>
      <c r="M54" s="15">
        <v>18067.23</v>
      </c>
      <c r="N54" s="14">
        <f t="shared" si="0"/>
        <v>2.4628014366341714E-2</v>
      </c>
      <c r="O54" s="1">
        <v>0.06</v>
      </c>
      <c r="P54" s="1">
        <f t="shared" si="1"/>
        <v>0.12780918240727979</v>
      </c>
    </row>
    <row r="55" spans="1:16" x14ac:dyDescent="0.45">
      <c r="A55" t="s">
        <v>18</v>
      </c>
      <c r="B55" t="s">
        <v>19</v>
      </c>
      <c r="C55">
        <v>2022</v>
      </c>
      <c r="D55" t="s">
        <v>15</v>
      </c>
      <c r="E55" t="s">
        <v>16</v>
      </c>
      <c r="F55">
        <v>1640</v>
      </c>
      <c r="G55">
        <v>77.92</v>
      </c>
      <c r="H55">
        <v>76.41</v>
      </c>
      <c r="I55">
        <v>262</v>
      </c>
      <c r="J55" t="s">
        <v>28</v>
      </c>
      <c r="K55" s="14">
        <f>COUNTIFS(B:B,"Delta_Logistics",E:E,"Cancelled") / COUNTIF(B:B,"Delta_Logistics")</f>
        <v>9.3567251461988299E-2</v>
      </c>
      <c r="L55" s="15">
        <v>125312.4</v>
      </c>
      <c r="M55" s="15">
        <v>2476.4</v>
      </c>
      <c r="N55" s="14">
        <f t="shared" si="0"/>
        <v>0.15975609756097561</v>
      </c>
      <c r="O55" s="1">
        <v>0.39</v>
      </c>
      <c r="P55" s="1">
        <f t="shared" si="1"/>
        <v>1.937885010266947E-2</v>
      </c>
    </row>
    <row r="56" spans="1:16" x14ac:dyDescent="0.45">
      <c r="A56" t="s">
        <v>24</v>
      </c>
      <c r="B56" t="s">
        <v>25</v>
      </c>
      <c r="C56">
        <v>2023</v>
      </c>
      <c r="D56" t="s">
        <v>33</v>
      </c>
      <c r="E56" t="s">
        <v>20</v>
      </c>
      <c r="F56">
        <v>1317</v>
      </c>
      <c r="G56">
        <v>68.13</v>
      </c>
      <c r="H56">
        <v>60.52</v>
      </c>
      <c r="I56">
        <v>136</v>
      </c>
      <c r="J56" t="s">
        <v>17</v>
      </c>
      <c r="K56" s="14">
        <f>COUNTIFS(B:B,"Beta_Supplies",E:E,"Delivered") / COUNTIF(B:B,"Beta_Supplies")</f>
        <v>0.70512820512820518</v>
      </c>
      <c r="L56" s="15">
        <v>79704.84</v>
      </c>
      <c r="M56" s="15">
        <v>10022.370000000001</v>
      </c>
      <c r="N56" s="14">
        <f t="shared" si="0"/>
        <v>0.10326499620349279</v>
      </c>
      <c r="O56" s="1">
        <v>0.76</v>
      </c>
      <c r="P56" s="1">
        <f t="shared" si="1"/>
        <v>0.11169822398356073</v>
      </c>
    </row>
    <row r="57" spans="1:16" x14ac:dyDescent="0.45">
      <c r="A57" t="s">
        <v>29</v>
      </c>
      <c r="B57" t="s">
        <v>30</v>
      </c>
      <c r="C57">
        <v>2022</v>
      </c>
      <c r="D57" t="s">
        <v>27</v>
      </c>
      <c r="E57" t="s">
        <v>20</v>
      </c>
      <c r="F57">
        <v>881</v>
      </c>
      <c r="G57">
        <v>100.94</v>
      </c>
      <c r="H57">
        <v>95.05</v>
      </c>
      <c r="I57">
        <v>30</v>
      </c>
      <c r="J57" t="s">
        <v>17</v>
      </c>
      <c r="K57" s="14">
        <f>COUNTIFS(B:B,"Epsilon_Group",E:E,"Delivered") / COUNTIF(B:B,"Epsilon_Group")</f>
        <v>0.72289156626506024</v>
      </c>
      <c r="L57" s="15">
        <v>83739.05</v>
      </c>
      <c r="M57" s="15">
        <v>5189.09</v>
      </c>
      <c r="N57" s="14">
        <f t="shared" si="0"/>
        <v>3.4052213393870601E-2</v>
      </c>
      <c r="O57" s="1">
        <v>0.98</v>
      </c>
      <c r="P57" s="1">
        <f t="shared" si="1"/>
        <v>5.8351495938181105E-2</v>
      </c>
    </row>
    <row r="58" spans="1:16" x14ac:dyDescent="0.45">
      <c r="A58" t="s">
        <v>18</v>
      </c>
      <c r="B58" t="s">
        <v>19</v>
      </c>
      <c r="C58">
        <v>2023</v>
      </c>
      <c r="D58" t="s">
        <v>26</v>
      </c>
      <c r="E58" t="s">
        <v>20</v>
      </c>
      <c r="F58">
        <v>1578</v>
      </c>
      <c r="G58">
        <v>48.33</v>
      </c>
      <c r="H58">
        <v>42.77</v>
      </c>
      <c r="I58">
        <v>206</v>
      </c>
      <c r="J58" t="s">
        <v>17</v>
      </c>
      <c r="K58" s="14">
        <f>COUNTIFS(B:B,"Delta_Logistics",E:E,"Delivered") / COUNTIF(B:B,"Delta_Logistics")</f>
        <v>0.70175438596491224</v>
      </c>
      <c r="L58" s="15">
        <v>67491.06</v>
      </c>
      <c r="M58" s="15">
        <v>8773.68</v>
      </c>
      <c r="N58" s="14">
        <f t="shared" si="0"/>
        <v>0.13054499366286437</v>
      </c>
      <c r="O58" s="1">
        <v>0.61</v>
      </c>
      <c r="P58" s="1">
        <f t="shared" si="1"/>
        <v>0.11504241671839427</v>
      </c>
    </row>
    <row r="59" spans="1:16" x14ac:dyDescent="0.45">
      <c r="A59" t="s">
        <v>18</v>
      </c>
      <c r="B59" t="s">
        <v>19</v>
      </c>
      <c r="C59">
        <v>2023</v>
      </c>
      <c r="D59" t="s">
        <v>23</v>
      </c>
      <c r="E59" t="s">
        <v>20</v>
      </c>
      <c r="F59">
        <v>1204</v>
      </c>
      <c r="G59">
        <v>39.29</v>
      </c>
      <c r="H59">
        <v>35.44</v>
      </c>
      <c r="I59">
        <v>155</v>
      </c>
      <c r="J59" t="s">
        <v>17</v>
      </c>
      <c r="K59" s="14">
        <f>COUNTIFS(B:B,"Delta_Logistics",E:E,"Delivered") / COUNTIF(B:B,"Delta_Logistics")</f>
        <v>0.70175438596491224</v>
      </c>
      <c r="L59" s="15">
        <v>42669.760000000002</v>
      </c>
      <c r="M59" s="15">
        <v>4635.3999999999996</v>
      </c>
      <c r="N59" s="14">
        <f t="shared" si="0"/>
        <v>0.12873754152823921</v>
      </c>
      <c r="O59" s="1">
        <v>0.61</v>
      </c>
      <c r="P59" s="1">
        <f t="shared" si="1"/>
        <v>9.7989310257062909E-2</v>
      </c>
    </row>
    <row r="60" spans="1:16" x14ac:dyDescent="0.45">
      <c r="A60" t="s">
        <v>29</v>
      </c>
      <c r="B60" t="s">
        <v>30</v>
      </c>
      <c r="C60">
        <v>2023</v>
      </c>
      <c r="D60" t="s">
        <v>23</v>
      </c>
      <c r="E60" t="s">
        <v>32</v>
      </c>
      <c r="F60">
        <v>1558</v>
      </c>
      <c r="G60">
        <v>93.46</v>
      </c>
      <c r="H60">
        <v>91.27</v>
      </c>
      <c r="I60">
        <v>39</v>
      </c>
      <c r="J60" t="s">
        <v>17</v>
      </c>
      <c r="K60" s="14">
        <f>COUNTIFS(B:B,"Epsilon_Group",E:E,"Pending") / COUNTIF(B:B,"Epsilon_Group")</f>
        <v>0.10843373493975904</v>
      </c>
      <c r="L60" s="15">
        <v>142198.66</v>
      </c>
      <c r="M60" s="15">
        <v>3412.02</v>
      </c>
      <c r="N60" s="14">
        <f t="shared" si="0"/>
        <v>2.5032092426187421E-2</v>
      </c>
      <c r="O60" s="1">
        <v>0.98</v>
      </c>
      <c r="P60" s="1">
        <f t="shared" si="1"/>
        <v>2.3432484485341298E-2</v>
      </c>
    </row>
    <row r="61" spans="1:16" x14ac:dyDescent="0.45">
      <c r="A61" t="s">
        <v>13</v>
      </c>
      <c r="B61" t="s">
        <v>14</v>
      </c>
      <c r="C61">
        <v>2023</v>
      </c>
      <c r="D61" t="s">
        <v>26</v>
      </c>
      <c r="E61" t="s">
        <v>20</v>
      </c>
      <c r="F61">
        <v>1892</v>
      </c>
      <c r="G61">
        <v>32.99</v>
      </c>
      <c r="H61">
        <v>28.81</v>
      </c>
      <c r="I61">
        <v>35</v>
      </c>
      <c r="J61" t="s">
        <v>17</v>
      </c>
      <c r="K61" s="14">
        <f>COUNTIFS(B:B,"Alpha_Inc",E:E,"Delivered")/COUNTIF(B:B,"Alpha_Inc")</f>
        <v>0.75886524822695034</v>
      </c>
      <c r="L61" s="15">
        <v>54508.52</v>
      </c>
      <c r="M61" s="15">
        <v>7908.56</v>
      </c>
      <c r="N61" s="14">
        <f t="shared" si="0"/>
        <v>1.849894291754757E-2</v>
      </c>
      <c r="O61" s="1">
        <v>0.94</v>
      </c>
      <c r="P61" s="1">
        <f t="shared" si="1"/>
        <v>0.12670506214004254</v>
      </c>
    </row>
    <row r="62" spans="1:16" x14ac:dyDescent="0.45">
      <c r="A62" t="s">
        <v>29</v>
      </c>
      <c r="B62" t="s">
        <v>30</v>
      </c>
      <c r="C62">
        <v>2022</v>
      </c>
      <c r="D62" t="s">
        <v>26</v>
      </c>
      <c r="E62" t="s">
        <v>20</v>
      </c>
      <c r="F62">
        <v>696</v>
      </c>
      <c r="G62">
        <v>99.59</v>
      </c>
      <c r="H62">
        <v>90.18</v>
      </c>
      <c r="I62">
        <v>25</v>
      </c>
      <c r="J62" t="s">
        <v>17</v>
      </c>
      <c r="K62" s="14">
        <f>COUNTIFS(B:B,"Epsilon_Group",E:E,"Delivered") / COUNTIF(B:B,"Epsilon_Group")</f>
        <v>0.72289156626506024</v>
      </c>
      <c r="L62" s="15">
        <v>62765.279999999999</v>
      </c>
      <c r="M62" s="15">
        <v>6549.36</v>
      </c>
      <c r="N62" s="14">
        <f t="shared" si="0"/>
        <v>3.5919540229885055E-2</v>
      </c>
      <c r="O62" s="1">
        <v>0.98</v>
      </c>
      <c r="P62" s="1">
        <f t="shared" si="1"/>
        <v>9.448739833316594E-2</v>
      </c>
    </row>
    <row r="63" spans="1:16" x14ac:dyDescent="0.45">
      <c r="A63" t="s">
        <v>18</v>
      </c>
      <c r="B63" t="s">
        <v>19</v>
      </c>
      <c r="C63">
        <v>2023</v>
      </c>
      <c r="D63" t="s">
        <v>23</v>
      </c>
      <c r="E63" t="s">
        <v>31</v>
      </c>
      <c r="F63">
        <v>70</v>
      </c>
      <c r="G63">
        <v>12.37</v>
      </c>
      <c r="H63">
        <v>11.04</v>
      </c>
      <c r="I63">
        <v>10</v>
      </c>
      <c r="J63" t="s">
        <v>17</v>
      </c>
      <c r="K63" s="14">
        <f>COUNTIFS(B:B,"Delta_Logistics",E:E,"Partially Delivered") / COUNTIF(B:B,"Delta_Logistics")</f>
        <v>0.10526315789473684</v>
      </c>
      <c r="L63" s="15">
        <v>772.8</v>
      </c>
      <c r="M63" s="15">
        <v>93.1</v>
      </c>
      <c r="N63" s="14">
        <f t="shared" si="0"/>
        <v>0.14285714285714285</v>
      </c>
      <c r="O63" s="1">
        <v>0.61</v>
      </c>
      <c r="P63" s="1">
        <f t="shared" si="1"/>
        <v>0.10751818916734035</v>
      </c>
    </row>
    <row r="64" spans="1:16" x14ac:dyDescent="0.45">
      <c r="A64" t="s">
        <v>21</v>
      </c>
      <c r="B64" t="s">
        <v>22</v>
      </c>
      <c r="C64">
        <v>2022</v>
      </c>
      <c r="D64" t="s">
        <v>27</v>
      </c>
      <c r="E64" t="s">
        <v>20</v>
      </c>
      <c r="F64">
        <v>890</v>
      </c>
      <c r="G64">
        <v>98.26</v>
      </c>
      <c r="H64">
        <v>93.14</v>
      </c>
      <c r="I64">
        <v>49</v>
      </c>
      <c r="J64" t="s">
        <v>17</v>
      </c>
      <c r="K64" s="14">
        <f>COUNTIFS(B:B,"Gamma_Co",E:E,"Delivered") / COUNTIF(B:B,"Gamma_Co")</f>
        <v>0.72027972027972031</v>
      </c>
      <c r="L64" s="15">
        <v>82894.600000000006</v>
      </c>
      <c r="M64" s="15">
        <v>4556.8</v>
      </c>
      <c r="N64" s="14">
        <f t="shared" si="0"/>
        <v>5.5056179775280899E-2</v>
      </c>
      <c r="O64" s="1">
        <v>0.86</v>
      </c>
      <c r="P64" s="1">
        <f t="shared" si="1"/>
        <v>5.2106655811113414E-2</v>
      </c>
    </row>
    <row r="65" spans="1:16" x14ac:dyDescent="0.45">
      <c r="A65" t="s">
        <v>13</v>
      </c>
      <c r="B65" t="s">
        <v>14</v>
      </c>
      <c r="C65">
        <v>2022</v>
      </c>
      <c r="D65" t="s">
        <v>23</v>
      </c>
      <c r="E65" t="s">
        <v>20</v>
      </c>
      <c r="F65">
        <v>216</v>
      </c>
      <c r="G65">
        <v>13.95</v>
      </c>
      <c r="H65">
        <v>12.31</v>
      </c>
      <c r="I65">
        <v>5</v>
      </c>
      <c r="J65" t="s">
        <v>17</v>
      </c>
      <c r="K65" s="14">
        <f>COUNTIFS(B:B,"Alpha_Inc",E:E,"Delivered")/COUNTIF(B:B,"Alpha_Inc")</f>
        <v>0.75886524822695034</v>
      </c>
      <c r="L65" s="15">
        <v>2658.96</v>
      </c>
      <c r="M65" s="15">
        <v>354.24</v>
      </c>
      <c r="N65" s="14">
        <f t="shared" si="0"/>
        <v>2.3148148148148147E-2</v>
      </c>
      <c r="O65" s="1">
        <v>0.94</v>
      </c>
      <c r="P65" s="1">
        <f t="shared" si="1"/>
        <v>0.11756272401433683</v>
      </c>
    </row>
    <row r="66" spans="1:16" x14ac:dyDescent="0.45">
      <c r="A66" t="s">
        <v>18</v>
      </c>
      <c r="B66" t="s">
        <v>19</v>
      </c>
      <c r="C66">
        <v>2023</v>
      </c>
      <c r="D66" t="s">
        <v>26</v>
      </c>
      <c r="E66" t="s">
        <v>20</v>
      </c>
      <c r="F66">
        <v>1347</v>
      </c>
      <c r="G66">
        <v>100.13</v>
      </c>
      <c r="H66">
        <v>94.3</v>
      </c>
      <c r="I66">
        <v>200</v>
      </c>
      <c r="J66" t="s">
        <v>17</v>
      </c>
      <c r="K66" s="14">
        <f>COUNTIFS(B:B,"Delta_Logistics",E:E,"Delivered") / COUNTIF(B:B,"Delta_Logistics")</f>
        <v>0.70175438596491224</v>
      </c>
      <c r="L66" s="15">
        <v>127022.1</v>
      </c>
      <c r="M66" s="15">
        <v>7853.01</v>
      </c>
      <c r="N66" s="14">
        <f t="shared" ref="N66:N129" si="2">I66/F66</f>
        <v>0.14847809948032664</v>
      </c>
      <c r="O66" s="1">
        <v>0.61</v>
      </c>
      <c r="P66" s="1">
        <f t="shared" si="1"/>
        <v>5.822430839908118E-2</v>
      </c>
    </row>
    <row r="67" spans="1:16" x14ac:dyDescent="0.45">
      <c r="A67" t="s">
        <v>21</v>
      </c>
      <c r="B67" t="s">
        <v>22</v>
      </c>
      <c r="C67">
        <v>2022</v>
      </c>
      <c r="D67" t="s">
        <v>15</v>
      </c>
      <c r="E67" t="s">
        <v>31</v>
      </c>
      <c r="F67">
        <v>437</v>
      </c>
      <c r="G67">
        <v>59.51</v>
      </c>
      <c r="H67">
        <v>56.45</v>
      </c>
      <c r="I67">
        <v>25</v>
      </c>
      <c r="J67" t="s">
        <v>28</v>
      </c>
      <c r="K67" s="14">
        <f>COUNTIFS(B:B,"Gamma_Co",E:E,"Partially Delivered") / COUNTIF(B:B,"Gamma_Co")</f>
        <v>0.12587412587412589</v>
      </c>
      <c r="L67" s="15">
        <v>24668.65</v>
      </c>
      <c r="M67" s="15">
        <v>1337.22</v>
      </c>
      <c r="N67" s="14">
        <f t="shared" si="2"/>
        <v>5.7208237986270026E-2</v>
      </c>
      <c r="O67" s="1">
        <v>0.14000000000000001</v>
      </c>
      <c r="P67" s="1">
        <f t="shared" ref="P67:P130" si="3">((G67-H67)/G67)</f>
        <v>5.14199294236262E-2</v>
      </c>
    </row>
    <row r="68" spans="1:16" x14ac:dyDescent="0.45">
      <c r="A68" t="s">
        <v>13</v>
      </c>
      <c r="B68" t="s">
        <v>14</v>
      </c>
      <c r="C68">
        <v>2022</v>
      </c>
      <c r="D68" t="s">
        <v>33</v>
      </c>
      <c r="E68" t="s">
        <v>20</v>
      </c>
      <c r="F68">
        <v>650</v>
      </c>
      <c r="G68">
        <v>103.84</v>
      </c>
      <c r="H68">
        <v>88.28</v>
      </c>
      <c r="I68">
        <v>12</v>
      </c>
      <c r="J68" t="s">
        <v>17</v>
      </c>
      <c r="K68" s="14">
        <f>COUNTIFS(B:B,"Alpha_Inc",E:E,"Delivered")/COUNTIF(B:B,"Alpha_Inc")</f>
        <v>0.75886524822695034</v>
      </c>
      <c r="L68" s="15">
        <v>57382</v>
      </c>
      <c r="M68" s="15">
        <v>10114</v>
      </c>
      <c r="N68" s="14">
        <f t="shared" si="2"/>
        <v>1.8461538461538463E-2</v>
      </c>
      <c r="O68" s="1">
        <v>0.94</v>
      </c>
      <c r="P68" s="1">
        <f t="shared" si="3"/>
        <v>0.14984591679506937</v>
      </c>
    </row>
    <row r="69" spans="1:16" x14ac:dyDescent="0.45">
      <c r="A69" t="s">
        <v>24</v>
      </c>
      <c r="B69" t="s">
        <v>25</v>
      </c>
      <c r="C69">
        <v>2022</v>
      </c>
      <c r="D69" t="s">
        <v>15</v>
      </c>
      <c r="E69" t="s">
        <v>20</v>
      </c>
      <c r="F69">
        <v>365</v>
      </c>
      <c r="G69">
        <v>16.809999999999999</v>
      </c>
      <c r="H69">
        <v>15.41</v>
      </c>
      <c r="I69">
        <v>38</v>
      </c>
      <c r="J69" t="s">
        <v>17</v>
      </c>
      <c r="K69" s="14">
        <f>COUNTIFS(B:B,"Beta_Supplies",E:E,"Delivered") / COUNTIF(B:B,"Beta_Supplies")</f>
        <v>0.70512820512820518</v>
      </c>
      <c r="L69" s="15">
        <v>5624.65</v>
      </c>
      <c r="M69" s="15">
        <v>511</v>
      </c>
      <c r="N69" s="14">
        <f t="shared" si="2"/>
        <v>0.10410958904109589</v>
      </c>
      <c r="O69" s="1">
        <v>0.76</v>
      </c>
      <c r="P69" s="1">
        <f t="shared" si="3"/>
        <v>8.3283759666864882E-2</v>
      </c>
    </row>
    <row r="70" spans="1:16" x14ac:dyDescent="0.45">
      <c r="A70" t="s">
        <v>29</v>
      </c>
      <c r="B70" t="s">
        <v>30</v>
      </c>
      <c r="C70">
        <v>2022</v>
      </c>
      <c r="D70" t="s">
        <v>27</v>
      </c>
      <c r="E70" t="s">
        <v>16</v>
      </c>
      <c r="F70">
        <v>63</v>
      </c>
      <c r="G70">
        <v>61.94</v>
      </c>
      <c r="H70">
        <v>53.8</v>
      </c>
      <c r="I70">
        <v>33</v>
      </c>
      <c r="J70" t="s">
        <v>17</v>
      </c>
      <c r="K70" s="14">
        <f>COUNTIFS(B:B,"Epsilon_Group",E:E,"Cancelled") / COUNTIF(B:B,"Epsilon_Group")</f>
        <v>8.4337349397590355E-2</v>
      </c>
      <c r="L70" s="15">
        <v>3389.4</v>
      </c>
      <c r="M70" s="15">
        <v>512.82000000000005</v>
      </c>
      <c r="N70" s="14">
        <f t="shared" si="2"/>
        <v>0.52380952380952384</v>
      </c>
      <c r="O70" s="1">
        <v>0.98</v>
      </c>
      <c r="P70" s="1">
        <f t="shared" si="3"/>
        <v>0.13141750080723283</v>
      </c>
    </row>
    <row r="71" spans="1:16" x14ac:dyDescent="0.45">
      <c r="A71" t="s">
        <v>13</v>
      </c>
      <c r="B71" t="s">
        <v>14</v>
      </c>
      <c r="C71">
        <v>2022</v>
      </c>
      <c r="D71" t="s">
        <v>23</v>
      </c>
      <c r="E71" t="s">
        <v>20</v>
      </c>
      <c r="F71">
        <v>291</v>
      </c>
      <c r="G71">
        <v>98.7</v>
      </c>
      <c r="H71">
        <v>87.02</v>
      </c>
      <c r="I71">
        <v>9</v>
      </c>
      <c r="J71" t="s">
        <v>17</v>
      </c>
      <c r="K71" s="14">
        <f>COUNTIFS(B:B,"Alpha_Inc",E:E,"Delivered")/COUNTIF(B:B,"Alpha_Inc")</f>
        <v>0.75886524822695034</v>
      </c>
      <c r="L71" s="15">
        <v>25322.82</v>
      </c>
      <c r="M71" s="15">
        <v>3398.88</v>
      </c>
      <c r="N71" s="14">
        <f t="shared" si="2"/>
        <v>3.0927835051546393E-2</v>
      </c>
      <c r="O71" s="1">
        <v>0.94</v>
      </c>
      <c r="P71" s="1">
        <f t="shared" si="3"/>
        <v>0.11833839918946308</v>
      </c>
    </row>
    <row r="72" spans="1:16" x14ac:dyDescent="0.45">
      <c r="A72" t="s">
        <v>13</v>
      </c>
      <c r="B72" t="s">
        <v>14</v>
      </c>
      <c r="C72">
        <v>2023</v>
      </c>
      <c r="D72" t="s">
        <v>23</v>
      </c>
      <c r="E72" t="s">
        <v>16</v>
      </c>
      <c r="F72">
        <v>826</v>
      </c>
      <c r="G72">
        <v>60.5</v>
      </c>
      <c r="H72">
        <v>57.18</v>
      </c>
      <c r="I72">
        <v>18</v>
      </c>
      <c r="J72" t="s">
        <v>17</v>
      </c>
      <c r="K72" s="14">
        <f>COUNTIFS(B:B,"Alpha_Inc",E:E,"Cancelled") / COUNTIF(B:B,"Alpha_Inc")</f>
        <v>9.2198581560283682E-2</v>
      </c>
      <c r="L72" s="15">
        <v>47230.68</v>
      </c>
      <c r="M72" s="15">
        <v>2742.32</v>
      </c>
      <c r="N72" s="14">
        <f t="shared" si="2"/>
        <v>2.1791767554479417E-2</v>
      </c>
      <c r="O72" s="1">
        <v>0.94</v>
      </c>
      <c r="P72" s="1">
        <f t="shared" si="3"/>
        <v>5.4876033057851242E-2</v>
      </c>
    </row>
    <row r="73" spans="1:16" x14ac:dyDescent="0.45">
      <c r="A73" t="s">
        <v>18</v>
      </c>
      <c r="B73" t="s">
        <v>19</v>
      </c>
      <c r="C73">
        <v>2022</v>
      </c>
      <c r="D73" t="s">
        <v>33</v>
      </c>
      <c r="E73" t="s">
        <v>32</v>
      </c>
      <c r="F73">
        <v>1419</v>
      </c>
      <c r="G73">
        <v>69.64</v>
      </c>
      <c r="H73">
        <v>59.28</v>
      </c>
      <c r="I73">
        <v>194</v>
      </c>
      <c r="J73" t="s">
        <v>17</v>
      </c>
      <c r="K73" s="14">
        <f>COUNTIFS(B:B,"Delta_Logistics",E:E,"Pending") / COUNTIF(B:B,"Delta_Logistics")</f>
        <v>9.9415204678362568E-2</v>
      </c>
      <c r="L73" s="15">
        <v>84118.32</v>
      </c>
      <c r="M73" s="15">
        <v>14700.84</v>
      </c>
      <c r="N73" s="14">
        <f t="shared" si="2"/>
        <v>0.13671599718111346</v>
      </c>
      <c r="O73" s="1">
        <v>0.61</v>
      </c>
      <c r="P73" s="1">
        <f t="shared" si="3"/>
        <v>0.14876507754164273</v>
      </c>
    </row>
    <row r="74" spans="1:16" x14ac:dyDescent="0.45">
      <c r="A74" t="s">
        <v>21</v>
      </c>
      <c r="B74" t="s">
        <v>22</v>
      </c>
      <c r="C74">
        <v>2023</v>
      </c>
      <c r="D74" t="s">
        <v>15</v>
      </c>
      <c r="E74" t="s">
        <v>20</v>
      </c>
      <c r="F74">
        <v>614</v>
      </c>
      <c r="G74">
        <v>78.06</v>
      </c>
      <c r="H74">
        <v>73.95</v>
      </c>
      <c r="I74">
        <v>40</v>
      </c>
      <c r="J74" t="s">
        <v>17</v>
      </c>
      <c r="K74" s="14">
        <f>COUNTIFS(B:B,"Gamma_Co",E:E,"Delivered") / COUNTIF(B:B,"Gamma_Co")</f>
        <v>0.72027972027972031</v>
      </c>
      <c r="L74" s="15">
        <v>45405.3</v>
      </c>
      <c r="M74" s="15">
        <v>2523.54</v>
      </c>
      <c r="N74" s="14">
        <f t="shared" si="2"/>
        <v>6.5146579804560262E-2</v>
      </c>
      <c r="O74" s="1">
        <v>0.86</v>
      </c>
      <c r="P74" s="1">
        <f t="shared" si="3"/>
        <v>5.2651806302843961E-2</v>
      </c>
    </row>
    <row r="75" spans="1:16" x14ac:dyDescent="0.45">
      <c r="A75" t="s">
        <v>13</v>
      </c>
      <c r="B75" t="s">
        <v>14</v>
      </c>
      <c r="C75">
        <v>2023</v>
      </c>
      <c r="D75" t="s">
        <v>33</v>
      </c>
      <c r="E75" t="s">
        <v>20</v>
      </c>
      <c r="F75">
        <v>947</v>
      </c>
      <c r="G75">
        <v>56.25</v>
      </c>
      <c r="H75">
        <v>54.25</v>
      </c>
      <c r="I75">
        <v>19</v>
      </c>
      <c r="J75" t="s">
        <v>17</v>
      </c>
      <c r="K75" s="14">
        <f>COUNTIFS(B:B,"Alpha_Inc",E:E,"Delivered")/COUNTIF(B:B,"Alpha_Inc")</f>
        <v>0.75886524822695034</v>
      </c>
      <c r="L75" s="15">
        <v>51374.75</v>
      </c>
      <c r="M75" s="15">
        <v>1894</v>
      </c>
      <c r="N75" s="14">
        <f t="shared" si="2"/>
        <v>2.0063357972544878E-2</v>
      </c>
      <c r="O75" s="1">
        <v>0.94</v>
      </c>
      <c r="P75" s="1">
        <f t="shared" si="3"/>
        <v>3.5555555555555556E-2</v>
      </c>
    </row>
    <row r="76" spans="1:16" x14ac:dyDescent="0.45">
      <c r="A76" t="s">
        <v>29</v>
      </c>
      <c r="B76" t="s">
        <v>30</v>
      </c>
      <c r="C76">
        <v>2023</v>
      </c>
      <c r="D76" t="s">
        <v>27</v>
      </c>
      <c r="E76" t="s">
        <v>20</v>
      </c>
      <c r="F76">
        <v>1413</v>
      </c>
      <c r="G76">
        <v>70.47</v>
      </c>
      <c r="H76">
        <v>69.650000000000006</v>
      </c>
      <c r="I76">
        <v>33</v>
      </c>
      <c r="J76" t="s">
        <v>17</v>
      </c>
      <c r="K76" s="14">
        <f>COUNTIFS(B:B,"Epsilon_Group",E:E,"Delivered") / COUNTIF(B:B,"Epsilon_Group")</f>
        <v>0.72289156626506024</v>
      </c>
      <c r="L76" s="15">
        <v>98415.45</v>
      </c>
      <c r="M76" s="15">
        <v>1158.6600000000001</v>
      </c>
      <c r="N76" s="14">
        <f t="shared" si="2"/>
        <v>2.3354564755838639E-2</v>
      </c>
      <c r="O76" s="1">
        <v>0.98</v>
      </c>
      <c r="P76" s="1">
        <f t="shared" si="3"/>
        <v>1.1636157230026865E-2</v>
      </c>
    </row>
    <row r="77" spans="1:16" x14ac:dyDescent="0.45">
      <c r="A77" t="s">
        <v>13</v>
      </c>
      <c r="B77" t="s">
        <v>14</v>
      </c>
      <c r="C77">
        <v>2022</v>
      </c>
      <c r="D77" t="s">
        <v>15</v>
      </c>
      <c r="E77" t="s">
        <v>31</v>
      </c>
      <c r="F77">
        <v>141</v>
      </c>
      <c r="G77">
        <v>64.150000000000006</v>
      </c>
      <c r="H77">
        <v>58.32</v>
      </c>
      <c r="I77">
        <v>24</v>
      </c>
      <c r="J77" t="s">
        <v>17</v>
      </c>
      <c r="K77" s="14">
        <f>COUNTIFS(B:B,"Alpha_Inc",E:E,"Partially Delivered")/COUNTIF(B:B,"Alpha_Inc")</f>
        <v>7.0921985815602842E-2</v>
      </c>
      <c r="L77" s="15">
        <v>8223.1200000000008</v>
      </c>
      <c r="M77" s="15">
        <v>822.03</v>
      </c>
      <c r="N77" s="14">
        <f t="shared" si="2"/>
        <v>0.1702127659574468</v>
      </c>
      <c r="O77" s="1">
        <v>0.94</v>
      </c>
      <c r="P77" s="1">
        <f t="shared" si="3"/>
        <v>9.0880748246297813E-2</v>
      </c>
    </row>
    <row r="78" spans="1:16" x14ac:dyDescent="0.45">
      <c r="A78" t="s">
        <v>13</v>
      </c>
      <c r="B78" t="s">
        <v>14</v>
      </c>
      <c r="C78">
        <v>2023</v>
      </c>
      <c r="D78" t="s">
        <v>15</v>
      </c>
      <c r="E78" t="s">
        <v>20</v>
      </c>
      <c r="F78">
        <v>1440</v>
      </c>
      <c r="G78">
        <v>96.57</v>
      </c>
      <c r="H78">
        <v>83.87</v>
      </c>
      <c r="I78">
        <v>36</v>
      </c>
      <c r="J78" t="s">
        <v>17</v>
      </c>
      <c r="K78" s="14">
        <f>COUNTIFS(B:B,"Alpha_Inc",E:E,"Delivered")/COUNTIF(B:B,"Alpha_Inc")</f>
        <v>0.75886524822695034</v>
      </c>
      <c r="L78" s="15">
        <v>120772.8</v>
      </c>
      <c r="M78" s="15">
        <v>18288</v>
      </c>
      <c r="N78" s="14">
        <f t="shared" si="2"/>
        <v>2.5000000000000001E-2</v>
      </c>
      <c r="O78" s="1">
        <v>0.94</v>
      </c>
      <c r="P78" s="1">
        <f t="shared" si="3"/>
        <v>0.13151082116599347</v>
      </c>
    </row>
    <row r="79" spans="1:16" x14ac:dyDescent="0.45">
      <c r="A79" t="s">
        <v>18</v>
      </c>
      <c r="B79" t="s">
        <v>19</v>
      </c>
      <c r="C79">
        <v>2022</v>
      </c>
      <c r="D79" t="s">
        <v>27</v>
      </c>
      <c r="E79" t="s">
        <v>20</v>
      </c>
      <c r="F79">
        <v>1005</v>
      </c>
      <c r="G79">
        <v>14.87</v>
      </c>
      <c r="H79">
        <v>12.79</v>
      </c>
      <c r="I79">
        <v>155</v>
      </c>
      <c r="J79" t="s">
        <v>28</v>
      </c>
      <c r="K79" s="14">
        <f>COUNTIFS(B:B,"Delta_Logistics",E:E,"Delivered") / COUNTIF(B:B,"Delta_Logistics")</f>
        <v>0.70175438596491224</v>
      </c>
      <c r="L79" s="15">
        <v>12853.95</v>
      </c>
      <c r="M79" s="15">
        <v>2090.4</v>
      </c>
      <c r="N79" s="14">
        <f t="shared" si="2"/>
        <v>0.15422885572139303</v>
      </c>
      <c r="O79" s="1">
        <v>0.39</v>
      </c>
      <c r="P79" s="1">
        <f t="shared" si="3"/>
        <v>0.1398789509078682</v>
      </c>
    </row>
    <row r="80" spans="1:16" x14ac:dyDescent="0.45">
      <c r="A80" t="s">
        <v>13</v>
      </c>
      <c r="B80" t="s">
        <v>14</v>
      </c>
      <c r="C80">
        <v>2022</v>
      </c>
      <c r="D80" t="s">
        <v>23</v>
      </c>
      <c r="E80" t="s">
        <v>20</v>
      </c>
      <c r="F80">
        <v>1528</v>
      </c>
      <c r="G80">
        <v>36.520000000000003</v>
      </c>
      <c r="H80">
        <v>33</v>
      </c>
      <c r="I80">
        <v>31</v>
      </c>
      <c r="J80" t="s">
        <v>28</v>
      </c>
      <c r="K80" s="14">
        <f>COUNTIFS(B:B,"Alpha_Inc",E:E,"Delivered")/COUNTIF(B:B,"Alpha_Inc")</f>
        <v>0.75886524822695034</v>
      </c>
      <c r="L80" s="15">
        <v>50424</v>
      </c>
      <c r="M80" s="15">
        <v>5378.56</v>
      </c>
      <c r="N80" s="14">
        <f t="shared" si="2"/>
        <v>2.0287958115183247E-2</v>
      </c>
      <c r="O80" s="1">
        <v>0.06</v>
      </c>
      <c r="P80" s="1">
        <f t="shared" si="3"/>
        <v>9.6385542168674773E-2</v>
      </c>
    </row>
    <row r="81" spans="1:16" x14ac:dyDescent="0.45">
      <c r="A81" t="s">
        <v>21</v>
      </c>
      <c r="B81" t="s">
        <v>22</v>
      </c>
      <c r="C81">
        <v>2023</v>
      </c>
      <c r="D81" t="s">
        <v>23</v>
      </c>
      <c r="E81" t="s">
        <v>20</v>
      </c>
      <c r="F81">
        <v>1501</v>
      </c>
      <c r="G81">
        <v>106.05</v>
      </c>
      <c r="H81">
        <v>100.99</v>
      </c>
      <c r="I81">
        <v>77</v>
      </c>
      <c r="J81" t="s">
        <v>28</v>
      </c>
      <c r="K81" s="14">
        <f>COUNTIFS(B:B,"Gamma_Co",E:E,"Delivered") / COUNTIF(B:B,"Gamma_Co")</f>
        <v>0.72027972027972031</v>
      </c>
      <c r="L81" s="15">
        <v>151585.99</v>
      </c>
      <c r="M81" s="15">
        <v>7595.06</v>
      </c>
      <c r="N81" s="14">
        <f t="shared" si="2"/>
        <v>5.1299133910726186E-2</v>
      </c>
      <c r="O81" s="1">
        <v>0.14000000000000001</v>
      </c>
      <c r="P81" s="1">
        <f t="shared" si="3"/>
        <v>4.7713342762847735E-2</v>
      </c>
    </row>
    <row r="82" spans="1:16" x14ac:dyDescent="0.45">
      <c r="A82" t="s">
        <v>18</v>
      </c>
      <c r="B82" t="s">
        <v>19</v>
      </c>
      <c r="C82">
        <v>2022</v>
      </c>
      <c r="D82" t="s">
        <v>26</v>
      </c>
      <c r="E82" t="s">
        <v>20</v>
      </c>
      <c r="F82">
        <v>558</v>
      </c>
      <c r="G82">
        <v>94.18</v>
      </c>
      <c r="H82">
        <v>81.400000000000006</v>
      </c>
      <c r="I82">
        <v>155</v>
      </c>
      <c r="J82" t="s">
        <v>28</v>
      </c>
      <c r="K82" s="14">
        <f>COUNTIFS(B:B,"Delta_Logistics",E:E,"Delivered") / COUNTIF(B:B,"Delta_Logistics")</f>
        <v>0.70175438596491224</v>
      </c>
      <c r="L82" s="15">
        <v>45421.2</v>
      </c>
      <c r="M82" s="15">
        <v>7131.24</v>
      </c>
      <c r="N82" s="14">
        <f t="shared" si="2"/>
        <v>0.27777777777777779</v>
      </c>
      <c r="O82" s="1">
        <v>0.39</v>
      </c>
      <c r="P82" s="1">
        <f t="shared" si="3"/>
        <v>0.1356976003397749</v>
      </c>
    </row>
    <row r="83" spans="1:16" x14ac:dyDescent="0.45">
      <c r="A83" t="s">
        <v>24</v>
      </c>
      <c r="B83" t="s">
        <v>25</v>
      </c>
      <c r="C83">
        <v>2023</v>
      </c>
      <c r="D83" t="s">
        <v>23</v>
      </c>
      <c r="E83" t="s">
        <v>20</v>
      </c>
      <c r="F83">
        <v>825</v>
      </c>
      <c r="G83">
        <v>56.88</v>
      </c>
      <c r="H83">
        <v>50.84</v>
      </c>
      <c r="I83">
        <v>105</v>
      </c>
      <c r="J83" t="s">
        <v>17</v>
      </c>
      <c r="K83" s="14">
        <f>COUNTIFS(B:B,"Beta_Supplies",E:E,"Delivered") / COUNTIF(B:B,"Beta_Supplies")</f>
        <v>0.70512820512820518</v>
      </c>
      <c r="L83" s="15">
        <v>41943</v>
      </c>
      <c r="M83" s="15">
        <v>4983</v>
      </c>
      <c r="N83" s="14">
        <f t="shared" si="2"/>
        <v>0.12727272727272726</v>
      </c>
      <c r="O83" s="1">
        <v>0.76</v>
      </c>
      <c r="P83" s="1">
        <f t="shared" si="3"/>
        <v>0.10618846694796059</v>
      </c>
    </row>
    <row r="84" spans="1:16" x14ac:dyDescent="0.45">
      <c r="A84" t="s">
        <v>24</v>
      </c>
      <c r="B84" t="s">
        <v>25</v>
      </c>
      <c r="C84">
        <v>2023</v>
      </c>
      <c r="D84" t="s">
        <v>33</v>
      </c>
      <c r="E84" t="s">
        <v>16</v>
      </c>
      <c r="F84">
        <v>84</v>
      </c>
      <c r="G84">
        <v>73.38</v>
      </c>
      <c r="H84">
        <v>71.42</v>
      </c>
      <c r="I84">
        <v>9</v>
      </c>
      <c r="J84" t="s">
        <v>17</v>
      </c>
      <c r="K84" s="14">
        <f>COUNTIFS(B:B,"Beta_Supplies",E:E,"Cancelled")/COUNTIF(B:B,"Beta_Supplies")</f>
        <v>8.9743589743589744E-2</v>
      </c>
      <c r="L84" s="15">
        <v>5999.28</v>
      </c>
      <c r="M84" s="15">
        <v>164.64</v>
      </c>
      <c r="N84" s="14">
        <f t="shared" si="2"/>
        <v>0.10714285714285714</v>
      </c>
      <c r="O84" s="1">
        <v>0.76</v>
      </c>
      <c r="P84" s="1">
        <f t="shared" si="3"/>
        <v>2.671027527936759E-2</v>
      </c>
    </row>
    <row r="85" spans="1:16" x14ac:dyDescent="0.45">
      <c r="A85" t="s">
        <v>18</v>
      </c>
      <c r="B85" t="s">
        <v>19</v>
      </c>
      <c r="C85">
        <v>2023</v>
      </c>
      <c r="D85" t="s">
        <v>27</v>
      </c>
      <c r="E85" t="s">
        <v>20</v>
      </c>
      <c r="F85">
        <v>255</v>
      </c>
      <c r="G85">
        <v>38.64</v>
      </c>
      <c r="H85">
        <v>33.590000000000003</v>
      </c>
      <c r="I85">
        <v>27</v>
      </c>
      <c r="J85" t="s">
        <v>28</v>
      </c>
      <c r="K85" s="14">
        <f>COUNTIFS(B:B,"Delta_Logistics",E:E,"Delivered") / COUNTIF(B:B,"Delta_Logistics")</f>
        <v>0.70175438596491224</v>
      </c>
      <c r="L85" s="15">
        <v>8565.4500000000007</v>
      </c>
      <c r="M85" s="15">
        <v>1287.75</v>
      </c>
      <c r="N85" s="14">
        <f t="shared" si="2"/>
        <v>0.10588235294117647</v>
      </c>
      <c r="O85" s="1">
        <v>0.39</v>
      </c>
      <c r="P85" s="1">
        <f t="shared" si="3"/>
        <v>0.13069358178053822</v>
      </c>
    </row>
    <row r="86" spans="1:16" x14ac:dyDescent="0.45">
      <c r="A86" t="s">
        <v>21</v>
      </c>
      <c r="B86" t="s">
        <v>22</v>
      </c>
      <c r="C86">
        <v>2022</v>
      </c>
      <c r="D86" t="s">
        <v>23</v>
      </c>
      <c r="E86" t="s">
        <v>20</v>
      </c>
      <c r="F86">
        <v>1154</v>
      </c>
      <c r="G86">
        <v>27.2</v>
      </c>
      <c r="H86">
        <v>26.07</v>
      </c>
      <c r="I86">
        <v>58</v>
      </c>
      <c r="J86" t="s">
        <v>17</v>
      </c>
      <c r="K86" s="14">
        <f>COUNTIFS(B:B,"Gamma_Co",E:E,"Delivered") / COUNTIF(B:B,"Gamma_Co")</f>
        <v>0.72027972027972031</v>
      </c>
      <c r="L86" s="15">
        <v>30084.78</v>
      </c>
      <c r="M86" s="15">
        <v>1304.02</v>
      </c>
      <c r="N86" s="14">
        <f t="shared" si="2"/>
        <v>5.0259965337954939E-2</v>
      </c>
      <c r="O86" s="1">
        <v>0.86</v>
      </c>
      <c r="P86" s="1">
        <f t="shared" si="3"/>
        <v>4.1544117647058787E-2</v>
      </c>
    </row>
    <row r="87" spans="1:16" x14ac:dyDescent="0.45">
      <c r="A87" t="s">
        <v>18</v>
      </c>
      <c r="B87" t="s">
        <v>19</v>
      </c>
      <c r="C87">
        <v>2023</v>
      </c>
      <c r="D87" t="s">
        <v>15</v>
      </c>
      <c r="E87" t="s">
        <v>20</v>
      </c>
      <c r="F87">
        <v>1635</v>
      </c>
      <c r="G87">
        <v>56.91</v>
      </c>
      <c r="H87">
        <v>54.37</v>
      </c>
      <c r="I87">
        <v>262</v>
      </c>
      <c r="J87" t="s">
        <v>28</v>
      </c>
      <c r="K87" s="14">
        <f>COUNTIFS(B:B,"Delta_Logistics",E:E,"Delivered") / COUNTIF(B:B,"Delta_Logistics")</f>
        <v>0.70175438596491224</v>
      </c>
      <c r="L87" s="15">
        <v>88894.95</v>
      </c>
      <c r="M87" s="15">
        <v>4152.8999999999996</v>
      </c>
      <c r="N87" s="14">
        <f t="shared" si="2"/>
        <v>0.1602446483180428</v>
      </c>
      <c r="O87" s="1">
        <v>0.39</v>
      </c>
      <c r="P87" s="1">
        <f t="shared" si="3"/>
        <v>4.4631874890177461E-2</v>
      </c>
    </row>
    <row r="88" spans="1:16" x14ac:dyDescent="0.45">
      <c r="A88" t="s">
        <v>18</v>
      </c>
      <c r="B88" t="s">
        <v>19</v>
      </c>
      <c r="C88">
        <v>2023</v>
      </c>
      <c r="D88" t="s">
        <v>27</v>
      </c>
      <c r="E88" t="s">
        <v>20</v>
      </c>
      <c r="F88">
        <v>1945</v>
      </c>
      <c r="G88">
        <v>46.19</v>
      </c>
      <c r="H88">
        <v>40.119999999999997</v>
      </c>
      <c r="I88">
        <v>278</v>
      </c>
      <c r="J88" t="s">
        <v>28</v>
      </c>
      <c r="K88" s="14">
        <f>COUNTIFS(B:B,"Delta_Logistics",E:E,"Delivered") / COUNTIF(B:B,"Delta_Logistics")</f>
        <v>0.70175438596491224</v>
      </c>
      <c r="L88" s="15">
        <v>78033.399999999994</v>
      </c>
      <c r="M88" s="15">
        <v>11806.15</v>
      </c>
      <c r="N88" s="14">
        <f t="shared" si="2"/>
        <v>0.14293059125964011</v>
      </c>
      <c r="O88" s="1">
        <v>0.39</v>
      </c>
      <c r="P88" s="1">
        <f t="shared" si="3"/>
        <v>0.13141372591470016</v>
      </c>
    </row>
    <row r="89" spans="1:16" x14ac:dyDescent="0.45">
      <c r="A89" t="s">
        <v>18</v>
      </c>
      <c r="B89" t="s">
        <v>19</v>
      </c>
      <c r="C89">
        <v>2022</v>
      </c>
      <c r="D89" t="s">
        <v>23</v>
      </c>
      <c r="E89" t="s">
        <v>31</v>
      </c>
      <c r="F89">
        <v>1461</v>
      </c>
      <c r="G89">
        <v>64.09</v>
      </c>
      <c r="H89">
        <v>63.39</v>
      </c>
      <c r="I89">
        <v>228</v>
      </c>
      <c r="J89" t="s">
        <v>28</v>
      </c>
      <c r="K89" s="14">
        <f>COUNTIFS(B:B,"Delta_Logistics",E:E,"Partially Delivered") / COUNTIF(B:B,"Delta_Logistics")</f>
        <v>0.10526315789473684</v>
      </c>
      <c r="L89" s="15">
        <v>92612.79</v>
      </c>
      <c r="M89" s="15">
        <v>1022.7</v>
      </c>
      <c r="N89" s="14">
        <f t="shared" si="2"/>
        <v>0.15605749486652978</v>
      </c>
      <c r="O89" s="1">
        <v>0.39</v>
      </c>
      <c r="P89" s="1">
        <f t="shared" si="3"/>
        <v>1.0922140739585003E-2</v>
      </c>
    </row>
    <row r="90" spans="1:16" x14ac:dyDescent="0.45">
      <c r="A90" t="s">
        <v>18</v>
      </c>
      <c r="B90" t="s">
        <v>19</v>
      </c>
      <c r="C90">
        <v>2023</v>
      </c>
      <c r="D90" t="s">
        <v>33</v>
      </c>
      <c r="E90" t="s">
        <v>20</v>
      </c>
      <c r="F90">
        <v>1075</v>
      </c>
      <c r="G90">
        <v>18.53</v>
      </c>
      <c r="H90">
        <v>16.12</v>
      </c>
      <c r="I90">
        <v>147</v>
      </c>
      <c r="J90" t="s">
        <v>17</v>
      </c>
      <c r="K90" s="14">
        <f>COUNTIFS(B:B,"Delta_Logistics",E:E,"Delivered") / COUNTIF(B:B,"Delta_Logistics")</f>
        <v>0.70175438596491224</v>
      </c>
      <c r="L90" s="15">
        <v>17329</v>
      </c>
      <c r="M90" s="15">
        <v>2590.75</v>
      </c>
      <c r="N90" s="14">
        <f t="shared" si="2"/>
        <v>0.13674418604651162</v>
      </c>
      <c r="O90" s="1">
        <v>0.61</v>
      </c>
      <c r="P90" s="1">
        <f t="shared" si="3"/>
        <v>0.1300593631948192</v>
      </c>
    </row>
    <row r="91" spans="1:16" x14ac:dyDescent="0.45">
      <c r="A91" t="s">
        <v>13</v>
      </c>
      <c r="B91" t="s">
        <v>14</v>
      </c>
      <c r="C91">
        <v>2022</v>
      </c>
      <c r="D91" t="s">
        <v>26</v>
      </c>
      <c r="E91" t="s">
        <v>20</v>
      </c>
      <c r="F91">
        <v>1071</v>
      </c>
      <c r="G91">
        <v>101.6</v>
      </c>
      <c r="H91">
        <v>93.91</v>
      </c>
      <c r="I91">
        <v>25</v>
      </c>
      <c r="J91" t="s">
        <v>17</v>
      </c>
      <c r="K91" s="14">
        <f>COUNTIFS(B:B,"Alpha_Inc",E:E,"Delivered")/COUNTIF(B:B,"Alpha_Inc")</f>
        <v>0.75886524822695034</v>
      </c>
      <c r="L91" s="15">
        <v>100577.61</v>
      </c>
      <c r="M91" s="15">
        <v>8235.99</v>
      </c>
      <c r="N91" s="14">
        <f t="shared" si="2"/>
        <v>2.3342670401493931E-2</v>
      </c>
      <c r="O91" s="1">
        <v>0.94</v>
      </c>
      <c r="P91" s="1">
        <f t="shared" si="3"/>
        <v>7.5688976377952744E-2</v>
      </c>
    </row>
    <row r="92" spans="1:16" x14ac:dyDescent="0.45">
      <c r="A92" t="s">
        <v>29</v>
      </c>
      <c r="B92" t="s">
        <v>30</v>
      </c>
      <c r="C92">
        <v>2022</v>
      </c>
      <c r="D92" t="s">
        <v>26</v>
      </c>
      <c r="E92" t="s">
        <v>32</v>
      </c>
      <c r="F92">
        <v>1463</v>
      </c>
      <c r="G92">
        <v>101.23</v>
      </c>
      <c r="H92">
        <v>86.17</v>
      </c>
      <c r="I92">
        <v>43</v>
      </c>
      <c r="J92" t="s">
        <v>17</v>
      </c>
      <c r="K92" s="14">
        <f>COUNTIFS(B:B,"Epsilon_Group",E:E,"Pending") / COUNTIF(B:B,"Epsilon_Group")</f>
        <v>0.10843373493975904</v>
      </c>
      <c r="L92" s="15">
        <v>126066.71</v>
      </c>
      <c r="M92" s="15">
        <v>22032.78</v>
      </c>
      <c r="N92" s="14">
        <f t="shared" si="2"/>
        <v>2.939166097060834E-2</v>
      </c>
      <c r="O92" s="1">
        <v>0.98</v>
      </c>
      <c r="P92" s="1">
        <f t="shared" si="3"/>
        <v>0.14877012743257928</v>
      </c>
    </row>
    <row r="93" spans="1:16" x14ac:dyDescent="0.45">
      <c r="A93" t="s">
        <v>24</v>
      </c>
      <c r="B93" t="s">
        <v>25</v>
      </c>
      <c r="C93">
        <v>2023</v>
      </c>
      <c r="D93" t="s">
        <v>27</v>
      </c>
      <c r="E93" t="s">
        <v>20</v>
      </c>
      <c r="F93">
        <v>615</v>
      </c>
      <c r="G93">
        <v>78.3</v>
      </c>
      <c r="H93">
        <v>73.680000000000007</v>
      </c>
      <c r="I93">
        <v>69</v>
      </c>
      <c r="J93" t="s">
        <v>17</v>
      </c>
      <c r="K93" s="14">
        <f>COUNTIFS(B:B,"Beta_Supplies",E:E,"Delivered") / COUNTIF(B:B,"Beta_Supplies")</f>
        <v>0.70512820512820518</v>
      </c>
      <c r="L93" s="15">
        <v>45313.2</v>
      </c>
      <c r="M93" s="15">
        <v>2841.3</v>
      </c>
      <c r="N93" s="14">
        <f t="shared" si="2"/>
        <v>0.11219512195121951</v>
      </c>
      <c r="O93" s="1">
        <v>0.76</v>
      </c>
      <c r="P93" s="1">
        <f t="shared" si="3"/>
        <v>5.90038314176244E-2</v>
      </c>
    </row>
    <row r="94" spans="1:16" x14ac:dyDescent="0.45">
      <c r="A94" t="s">
        <v>21</v>
      </c>
      <c r="B94" t="s">
        <v>22</v>
      </c>
      <c r="C94">
        <v>2023</v>
      </c>
      <c r="D94" t="s">
        <v>33</v>
      </c>
      <c r="E94" t="s">
        <v>20</v>
      </c>
      <c r="F94">
        <v>1179</v>
      </c>
      <c r="G94">
        <v>61.74</v>
      </c>
      <c r="H94">
        <v>56.28</v>
      </c>
      <c r="I94">
        <v>55</v>
      </c>
      <c r="J94" t="s">
        <v>17</v>
      </c>
      <c r="K94" s="14">
        <f>COUNTIFS(B:B,"Gamma_Co",E:E,"Delivered") / COUNTIF(B:B,"Gamma_Co")</f>
        <v>0.72027972027972031</v>
      </c>
      <c r="L94" s="15">
        <v>66354.12</v>
      </c>
      <c r="M94" s="15">
        <v>6437.34</v>
      </c>
      <c r="N94" s="14">
        <f t="shared" si="2"/>
        <v>4.6649703138252757E-2</v>
      </c>
      <c r="O94" s="1">
        <v>0.86</v>
      </c>
      <c r="P94" s="1">
        <f t="shared" si="3"/>
        <v>8.8435374149659879E-2</v>
      </c>
    </row>
    <row r="95" spans="1:16" x14ac:dyDescent="0.45">
      <c r="A95" t="s">
        <v>13</v>
      </c>
      <c r="B95" t="s">
        <v>14</v>
      </c>
      <c r="C95">
        <v>2022</v>
      </c>
      <c r="D95" t="s">
        <v>33</v>
      </c>
      <c r="E95" t="s">
        <v>31</v>
      </c>
      <c r="F95">
        <v>1845</v>
      </c>
      <c r="G95">
        <v>39.56</v>
      </c>
      <c r="H95">
        <v>37.630000000000003</v>
      </c>
      <c r="I95">
        <v>45</v>
      </c>
      <c r="J95" t="s">
        <v>17</v>
      </c>
      <c r="K95" s="14">
        <f>COUNTIFS(B:B,"Alpha_Inc",E:E,"Partially Delivered")/COUNTIF(B:B,"Alpha_Inc")</f>
        <v>7.0921985815602842E-2</v>
      </c>
      <c r="L95" s="15">
        <v>69427.350000000006</v>
      </c>
      <c r="M95" s="15">
        <v>3560.85</v>
      </c>
      <c r="N95" s="14">
        <f t="shared" si="2"/>
        <v>2.4390243902439025E-2</v>
      </c>
      <c r="O95" s="1">
        <v>0.94</v>
      </c>
      <c r="P95" s="1">
        <f t="shared" si="3"/>
        <v>4.8786653185035382E-2</v>
      </c>
    </row>
    <row r="96" spans="1:16" x14ac:dyDescent="0.45">
      <c r="A96" t="s">
        <v>24</v>
      </c>
      <c r="B96" t="s">
        <v>25</v>
      </c>
      <c r="C96">
        <v>2023</v>
      </c>
      <c r="D96" t="s">
        <v>33</v>
      </c>
      <c r="E96" t="s">
        <v>16</v>
      </c>
      <c r="F96">
        <v>1895</v>
      </c>
      <c r="G96">
        <v>91.98</v>
      </c>
      <c r="H96">
        <v>86.27</v>
      </c>
      <c r="I96">
        <v>170</v>
      </c>
      <c r="J96" t="s">
        <v>17</v>
      </c>
      <c r="K96" s="14">
        <f>COUNTIFS(B:B,"Beta_Supplies",E:E,"Cancelled")/COUNTIF(B:B,"Beta_Supplies")</f>
        <v>8.9743589743589744E-2</v>
      </c>
      <c r="L96" s="15">
        <v>163481.65</v>
      </c>
      <c r="M96" s="15">
        <v>10820.45</v>
      </c>
      <c r="N96" s="14">
        <f t="shared" si="2"/>
        <v>8.9709762532981532E-2</v>
      </c>
      <c r="O96" s="1">
        <v>0.76</v>
      </c>
      <c r="P96" s="1">
        <f t="shared" si="3"/>
        <v>6.2078712763644357E-2</v>
      </c>
    </row>
    <row r="97" spans="1:16" x14ac:dyDescent="0.45">
      <c r="A97" t="s">
        <v>29</v>
      </c>
      <c r="B97" t="s">
        <v>30</v>
      </c>
      <c r="C97">
        <v>2023</v>
      </c>
      <c r="D97" t="s">
        <v>23</v>
      </c>
      <c r="E97" t="s">
        <v>31</v>
      </c>
      <c r="F97">
        <v>1550</v>
      </c>
      <c r="G97">
        <v>79.86</v>
      </c>
      <c r="H97">
        <v>69.569999999999993</v>
      </c>
      <c r="I97">
        <v>32</v>
      </c>
      <c r="J97" t="s">
        <v>28</v>
      </c>
      <c r="K97" s="14">
        <f>COUNTIFS(B:B,"Epsilon_Group",E:E,"Partially Delivered") / COUNTIF(B:B,"Epsilon_Group")</f>
        <v>8.4337349397590355E-2</v>
      </c>
      <c r="L97" s="15">
        <v>107833.5</v>
      </c>
      <c r="M97" s="15">
        <v>15949.5</v>
      </c>
      <c r="N97" s="14">
        <f t="shared" si="2"/>
        <v>2.0645161290322581E-2</v>
      </c>
      <c r="O97" s="1">
        <v>0.86</v>
      </c>
      <c r="P97" s="1">
        <f t="shared" si="3"/>
        <v>0.12885048835462065</v>
      </c>
    </row>
    <row r="98" spans="1:16" x14ac:dyDescent="0.45">
      <c r="A98" t="s">
        <v>18</v>
      </c>
      <c r="B98" t="s">
        <v>19</v>
      </c>
      <c r="C98">
        <v>2023</v>
      </c>
      <c r="D98" t="s">
        <v>26</v>
      </c>
      <c r="E98" t="s">
        <v>20</v>
      </c>
      <c r="F98">
        <v>752</v>
      </c>
      <c r="G98">
        <v>26.85</v>
      </c>
      <c r="H98">
        <v>24.37</v>
      </c>
      <c r="I98">
        <v>155</v>
      </c>
      <c r="J98" t="s">
        <v>28</v>
      </c>
      <c r="K98" s="14">
        <f>COUNTIFS(B:B,"Delta_Logistics",E:E,"Delivered") / COUNTIF(B:B,"Delta_Logistics")</f>
        <v>0.70175438596491224</v>
      </c>
      <c r="L98" s="15">
        <v>18326.240000000002</v>
      </c>
      <c r="M98" s="15">
        <v>1864.96</v>
      </c>
      <c r="N98" s="14">
        <f t="shared" si="2"/>
        <v>0.20611702127659576</v>
      </c>
      <c r="O98" s="1">
        <v>0.39</v>
      </c>
      <c r="P98" s="1">
        <f t="shared" si="3"/>
        <v>9.2364990689013049E-2</v>
      </c>
    </row>
    <row r="99" spans="1:16" x14ac:dyDescent="0.45">
      <c r="A99" t="s">
        <v>29</v>
      </c>
      <c r="B99" t="s">
        <v>30</v>
      </c>
      <c r="C99">
        <v>2022</v>
      </c>
      <c r="D99" t="s">
        <v>33</v>
      </c>
      <c r="E99" t="s">
        <v>20</v>
      </c>
      <c r="F99">
        <v>451</v>
      </c>
      <c r="G99">
        <v>95.2</v>
      </c>
      <c r="H99">
        <v>90.07</v>
      </c>
      <c r="I99">
        <v>21</v>
      </c>
      <c r="J99" t="s">
        <v>17</v>
      </c>
      <c r="K99" s="14">
        <f>COUNTIFS(B:B,"Epsilon_Group",E:E,"Delivered") / COUNTIF(B:B,"Epsilon_Group")</f>
        <v>0.72289156626506024</v>
      </c>
      <c r="L99" s="15">
        <v>40621.57</v>
      </c>
      <c r="M99" s="15">
        <v>2313.63</v>
      </c>
      <c r="N99" s="14">
        <f t="shared" si="2"/>
        <v>4.6563192904656318E-2</v>
      </c>
      <c r="O99" s="1">
        <v>0.98</v>
      </c>
      <c r="P99" s="1">
        <f t="shared" si="3"/>
        <v>5.3886554621848839E-2</v>
      </c>
    </row>
    <row r="100" spans="1:16" x14ac:dyDescent="0.45">
      <c r="A100" t="s">
        <v>24</v>
      </c>
      <c r="B100" t="s">
        <v>25</v>
      </c>
      <c r="C100">
        <v>2023</v>
      </c>
      <c r="D100" t="s">
        <v>15</v>
      </c>
      <c r="E100" t="s">
        <v>20</v>
      </c>
      <c r="F100">
        <v>779</v>
      </c>
      <c r="G100">
        <v>93.69</v>
      </c>
      <c r="H100">
        <v>90.92</v>
      </c>
      <c r="I100">
        <v>66</v>
      </c>
      <c r="J100" t="s">
        <v>17</v>
      </c>
      <c r="K100" s="14">
        <f>COUNTIFS(B:B,"Beta_Supplies",E:E,"Delivered") / COUNTIF(B:B,"Beta_Supplies")</f>
        <v>0.70512820512820518</v>
      </c>
      <c r="L100" s="15">
        <v>70826.679999999993</v>
      </c>
      <c r="M100" s="15">
        <v>2157.83</v>
      </c>
      <c r="N100" s="14">
        <f t="shared" si="2"/>
        <v>8.4724005134788186E-2</v>
      </c>
      <c r="O100" s="1">
        <v>0.76</v>
      </c>
      <c r="P100" s="1">
        <f t="shared" si="3"/>
        <v>2.9565588643398401E-2</v>
      </c>
    </row>
    <row r="101" spans="1:16" x14ac:dyDescent="0.45">
      <c r="A101" t="s">
        <v>24</v>
      </c>
      <c r="B101" t="s">
        <v>25</v>
      </c>
      <c r="C101">
        <v>2022</v>
      </c>
      <c r="D101" t="s">
        <v>23</v>
      </c>
      <c r="E101" t="s">
        <v>32</v>
      </c>
      <c r="F101">
        <v>1629</v>
      </c>
      <c r="G101">
        <v>100.26</v>
      </c>
      <c r="H101">
        <v>86.44</v>
      </c>
      <c r="I101">
        <v>187</v>
      </c>
      <c r="J101" t="s">
        <v>28</v>
      </c>
      <c r="K101" s="14">
        <f>COUNTIFS(B:B,"Beta_Supplies",E:E,"Pending") / COUNTIF(B:B,"Beta_Supplies")</f>
        <v>0.12179487179487179</v>
      </c>
      <c r="L101" s="15">
        <v>140810.76</v>
      </c>
      <c r="M101" s="15">
        <v>22512.78</v>
      </c>
      <c r="N101" s="14">
        <f t="shared" si="2"/>
        <v>0.11479435236341314</v>
      </c>
      <c r="O101" s="1">
        <v>0.24</v>
      </c>
      <c r="P101" s="1">
        <f t="shared" si="3"/>
        <v>0.13784161180929591</v>
      </c>
    </row>
    <row r="102" spans="1:16" x14ac:dyDescent="0.45">
      <c r="A102" t="s">
        <v>13</v>
      </c>
      <c r="B102" t="s">
        <v>14</v>
      </c>
      <c r="C102">
        <v>2022</v>
      </c>
      <c r="D102" t="s">
        <v>15</v>
      </c>
      <c r="E102" t="s">
        <v>20</v>
      </c>
      <c r="F102">
        <v>211</v>
      </c>
      <c r="G102">
        <v>75.69</v>
      </c>
      <c r="H102">
        <v>65.400000000000006</v>
      </c>
      <c r="I102">
        <v>2</v>
      </c>
      <c r="J102" t="s">
        <v>17</v>
      </c>
      <c r="K102" s="14">
        <f>COUNTIFS(B:B,"Alpha_Inc",E:E,"Delivered")/COUNTIF(B:B,"Alpha_Inc")</f>
        <v>0.75886524822695034</v>
      </c>
      <c r="L102" s="15">
        <v>13799.4</v>
      </c>
      <c r="M102" s="15">
        <v>2171.19</v>
      </c>
      <c r="N102" s="14">
        <f t="shared" si="2"/>
        <v>9.4786729857819912E-3</v>
      </c>
      <c r="O102" s="1">
        <v>0.94</v>
      </c>
      <c r="P102" s="1">
        <f t="shared" si="3"/>
        <v>0.13594926674593727</v>
      </c>
    </row>
    <row r="103" spans="1:16" x14ac:dyDescent="0.45">
      <c r="A103" t="s">
        <v>13</v>
      </c>
      <c r="B103" t="s">
        <v>14</v>
      </c>
      <c r="C103">
        <v>2022</v>
      </c>
      <c r="D103" t="s">
        <v>15</v>
      </c>
      <c r="E103" t="s">
        <v>20</v>
      </c>
      <c r="F103">
        <v>251</v>
      </c>
      <c r="G103">
        <v>67.489999999999995</v>
      </c>
      <c r="H103">
        <v>64.48</v>
      </c>
      <c r="I103">
        <v>2</v>
      </c>
      <c r="J103" t="s">
        <v>17</v>
      </c>
      <c r="K103" s="14">
        <f>COUNTIFS(B:B,"Alpha_Inc",E:E,"Delivered")/COUNTIF(B:B,"Alpha_Inc")</f>
        <v>0.75886524822695034</v>
      </c>
      <c r="L103" s="15">
        <v>16184.48</v>
      </c>
      <c r="M103" s="15">
        <v>755.51</v>
      </c>
      <c r="N103" s="14">
        <f t="shared" si="2"/>
        <v>7.9681274900398405E-3</v>
      </c>
      <c r="O103" s="1">
        <v>0.94</v>
      </c>
      <c r="P103" s="1">
        <f t="shared" si="3"/>
        <v>4.459919988146379E-2</v>
      </c>
    </row>
    <row r="104" spans="1:16" x14ac:dyDescent="0.45">
      <c r="A104" t="s">
        <v>21</v>
      </c>
      <c r="B104" t="s">
        <v>22</v>
      </c>
      <c r="C104">
        <v>2022</v>
      </c>
      <c r="D104" t="s">
        <v>27</v>
      </c>
      <c r="E104" t="s">
        <v>20</v>
      </c>
      <c r="F104">
        <v>1045</v>
      </c>
      <c r="G104">
        <v>47.88</v>
      </c>
      <c r="H104">
        <v>44.65</v>
      </c>
      <c r="I104">
        <v>69</v>
      </c>
      <c r="J104" t="s">
        <v>17</v>
      </c>
      <c r="K104" s="14">
        <f>COUNTIFS(B:B,"Gamma_Co",E:E,"Delivered") / COUNTIF(B:B,"Gamma_Co")</f>
        <v>0.72027972027972031</v>
      </c>
      <c r="L104" s="15">
        <v>46659.25</v>
      </c>
      <c r="M104" s="15">
        <v>3375.35</v>
      </c>
      <c r="N104" s="14">
        <f t="shared" si="2"/>
        <v>6.6028708133971298E-2</v>
      </c>
      <c r="O104" s="1">
        <v>0.86</v>
      </c>
      <c r="P104" s="1">
        <f t="shared" si="3"/>
        <v>6.746031746031754E-2</v>
      </c>
    </row>
    <row r="105" spans="1:16" x14ac:dyDescent="0.45">
      <c r="A105" t="s">
        <v>18</v>
      </c>
      <c r="B105" t="s">
        <v>19</v>
      </c>
      <c r="C105">
        <v>2022</v>
      </c>
      <c r="D105" t="s">
        <v>23</v>
      </c>
      <c r="E105" t="s">
        <v>20</v>
      </c>
      <c r="F105">
        <v>319</v>
      </c>
      <c r="G105">
        <v>98.64</v>
      </c>
      <c r="H105">
        <v>89.15</v>
      </c>
      <c r="I105">
        <v>57</v>
      </c>
      <c r="J105" t="s">
        <v>17</v>
      </c>
      <c r="K105" s="14">
        <f>COUNTIFS(B:B,"Delta_Logistics",E:E,"Delivered") / COUNTIF(B:B,"Delta_Logistics")</f>
        <v>0.70175438596491224</v>
      </c>
      <c r="L105" s="15">
        <v>28438.85</v>
      </c>
      <c r="M105" s="15">
        <v>3027.31</v>
      </c>
      <c r="N105" s="14">
        <f t="shared" si="2"/>
        <v>0.17868338557993729</v>
      </c>
      <c r="O105" s="1">
        <v>0.61</v>
      </c>
      <c r="P105" s="1">
        <f t="shared" si="3"/>
        <v>9.620843471208429E-2</v>
      </c>
    </row>
    <row r="106" spans="1:16" x14ac:dyDescent="0.45">
      <c r="A106" t="s">
        <v>29</v>
      </c>
      <c r="B106" t="s">
        <v>30</v>
      </c>
      <c r="C106">
        <v>2023</v>
      </c>
      <c r="D106" t="s">
        <v>15</v>
      </c>
      <c r="E106" t="s">
        <v>31</v>
      </c>
      <c r="F106">
        <v>1936</v>
      </c>
      <c r="G106">
        <v>93.66</v>
      </c>
      <c r="H106">
        <v>92.24</v>
      </c>
      <c r="I106">
        <v>58</v>
      </c>
      <c r="J106" t="s">
        <v>17</v>
      </c>
      <c r="K106" s="14">
        <f>COUNTIFS(B:B,"Epsilon_Group",E:E,"Partially Delivered") / COUNTIF(B:B,"Epsilon_Group")</f>
        <v>8.4337349397590355E-2</v>
      </c>
      <c r="L106" s="15">
        <v>178576.64000000001</v>
      </c>
      <c r="M106" s="15">
        <v>2749.12</v>
      </c>
      <c r="N106" s="14">
        <f t="shared" si="2"/>
        <v>2.9958677685950414E-2</v>
      </c>
      <c r="O106" s="1">
        <v>0.98</v>
      </c>
      <c r="P106" s="1">
        <f t="shared" si="3"/>
        <v>1.5161221439248364E-2</v>
      </c>
    </row>
    <row r="107" spans="1:16" x14ac:dyDescent="0.45">
      <c r="A107" t="s">
        <v>18</v>
      </c>
      <c r="B107" t="s">
        <v>19</v>
      </c>
      <c r="C107">
        <v>2022</v>
      </c>
      <c r="D107" t="s">
        <v>23</v>
      </c>
      <c r="E107" t="s">
        <v>16</v>
      </c>
      <c r="F107">
        <v>865</v>
      </c>
      <c r="G107">
        <v>14.7</v>
      </c>
      <c r="H107">
        <v>13.14</v>
      </c>
      <c r="I107">
        <v>135</v>
      </c>
      <c r="J107" t="s">
        <v>28</v>
      </c>
      <c r="K107" s="14">
        <f>COUNTIFS(B:B,"Delta_Logistics",E:E,"Cancelled") / COUNTIF(B:B,"Delta_Logistics")</f>
        <v>9.3567251461988299E-2</v>
      </c>
      <c r="L107" s="15">
        <v>11366.1</v>
      </c>
      <c r="M107" s="15">
        <v>1349.4</v>
      </c>
      <c r="N107" s="14">
        <f t="shared" si="2"/>
        <v>0.15606936416184972</v>
      </c>
      <c r="O107" s="1">
        <v>0.39</v>
      </c>
      <c r="P107" s="1">
        <f t="shared" si="3"/>
        <v>0.10612244897959175</v>
      </c>
    </row>
    <row r="108" spans="1:16" x14ac:dyDescent="0.45">
      <c r="A108" t="s">
        <v>29</v>
      </c>
      <c r="B108" t="s">
        <v>30</v>
      </c>
      <c r="C108">
        <v>2022</v>
      </c>
      <c r="D108" t="s">
        <v>33</v>
      </c>
      <c r="E108" t="s">
        <v>20</v>
      </c>
      <c r="F108">
        <v>1344</v>
      </c>
      <c r="G108">
        <v>12.5</v>
      </c>
      <c r="H108">
        <v>10.87</v>
      </c>
      <c r="I108">
        <v>44</v>
      </c>
      <c r="J108" t="s">
        <v>17</v>
      </c>
      <c r="K108" s="14">
        <f>COUNTIFS(B:B,"Epsilon_Group",E:E,"Delivered") / COUNTIF(B:B,"Epsilon_Group")</f>
        <v>0.72289156626506024</v>
      </c>
      <c r="L108" s="15">
        <v>14609.28</v>
      </c>
      <c r="M108" s="15">
        <v>2190.7199999999998</v>
      </c>
      <c r="N108" s="14">
        <f t="shared" si="2"/>
        <v>3.273809523809524E-2</v>
      </c>
      <c r="O108" s="1">
        <v>0.98</v>
      </c>
      <c r="P108" s="1">
        <f t="shared" si="3"/>
        <v>0.13040000000000007</v>
      </c>
    </row>
    <row r="109" spans="1:16" x14ac:dyDescent="0.45">
      <c r="A109" t="s">
        <v>18</v>
      </c>
      <c r="B109" t="s">
        <v>19</v>
      </c>
      <c r="C109">
        <v>2022</v>
      </c>
      <c r="D109" t="s">
        <v>27</v>
      </c>
      <c r="E109" t="s">
        <v>32</v>
      </c>
      <c r="F109">
        <v>505</v>
      </c>
      <c r="G109">
        <v>45.42</v>
      </c>
      <c r="H109">
        <v>40.369999999999997</v>
      </c>
      <c r="I109">
        <v>62</v>
      </c>
      <c r="J109" t="s">
        <v>17</v>
      </c>
      <c r="K109" s="14">
        <f>COUNTIFS(B:B,"Delta_Logistics",E:E,"Pending") / COUNTIF(B:B,"Delta_Logistics")</f>
        <v>9.9415204678362568E-2</v>
      </c>
      <c r="L109" s="15">
        <v>20386.849999999999</v>
      </c>
      <c r="M109" s="15">
        <v>2550.25</v>
      </c>
      <c r="N109" s="14">
        <f t="shared" si="2"/>
        <v>0.12277227722772277</v>
      </c>
      <c r="O109" s="1">
        <v>0.61</v>
      </c>
      <c r="P109" s="1">
        <f t="shared" si="3"/>
        <v>0.11118450022016742</v>
      </c>
    </row>
    <row r="110" spans="1:16" x14ac:dyDescent="0.45">
      <c r="A110" t="s">
        <v>24</v>
      </c>
      <c r="B110" t="s">
        <v>25</v>
      </c>
      <c r="C110">
        <v>2023</v>
      </c>
      <c r="D110" t="s">
        <v>26</v>
      </c>
      <c r="E110" t="s">
        <v>20</v>
      </c>
      <c r="F110">
        <v>1535</v>
      </c>
      <c r="G110">
        <v>90.83</v>
      </c>
      <c r="H110">
        <v>78.28</v>
      </c>
      <c r="I110">
        <v>151</v>
      </c>
      <c r="J110" t="s">
        <v>28</v>
      </c>
      <c r="K110" s="14">
        <f>COUNTIFS(B:B,"Beta_Supplies",E:E,"Delivered") / COUNTIF(B:B,"Beta_Supplies")</f>
        <v>0.70512820512820518</v>
      </c>
      <c r="L110" s="15">
        <v>120159.8</v>
      </c>
      <c r="M110" s="15">
        <v>19264.25</v>
      </c>
      <c r="N110" s="14">
        <f t="shared" si="2"/>
        <v>9.8371335504885998E-2</v>
      </c>
      <c r="O110" s="1">
        <v>0.24</v>
      </c>
      <c r="P110" s="1">
        <f t="shared" si="3"/>
        <v>0.13817020808103048</v>
      </c>
    </row>
    <row r="111" spans="1:16" x14ac:dyDescent="0.45">
      <c r="A111" t="s">
        <v>24</v>
      </c>
      <c r="B111" t="s">
        <v>25</v>
      </c>
      <c r="C111">
        <v>2022</v>
      </c>
      <c r="D111" t="s">
        <v>15</v>
      </c>
      <c r="E111" t="s">
        <v>20</v>
      </c>
      <c r="F111">
        <v>1800</v>
      </c>
      <c r="G111">
        <v>103.8</v>
      </c>
      <c r="H111">
        <v>96.27</v>
      </c>
      <c r="I111">
        <v>166</v>
      </c>
      <c r="J111" t="s">
        <v>17</v>
      </c>
      <c r="K111" s="14">
        <f>COUNTIFS(B:B,"Beta_Supplies",E:E,"Delivered") / COUNTIF(B:B,"Beta_Supplies")</f>
        <v>0.70512820512820518</v>
      </c>
      <c r="L111" s="15">
        <v>173286</v>
      </c>
      <c r="M111" s="15">
        <v>13554</v>
      </c>
      <c r="N111" s="14">
        <f t="shared" si="2"/>
        <v>9.2222222222222219E-2</v>
      </c>
      <c r="O111" s="1">
        <v>0.76</v>
      </c>
      <c r="P111" s="1">
        <f t="shared" si="3"/>
        <v>7.2543352601156089E-2</v>
      </c>
    </row>
    <row r="112" spans="1:16" x14ac:dyDescent="0.45">
      <c r="A112" t="s">
        <v>18</v>
      </c>
      <c r="B112" t="s">
        <v>19</v>
      </c>
      <c r="C112">
        <v>2022</v>
      </c>
      <c r="D112" t="s">
        <v>27</v>
      </c>
      <c r="E112" t="s">
        <v>32</v>
      </c>
      <c r="F112">
        <v>1325</v>
      </c>
      <c r="G112">
        <v>24.36</v>
      </c>
      <c r="H112">
        <v>22.75</v>
      </c>
      <c r="I112">
        <v>206</v>
      </c>
      <c r="J112" t="s">
        <v>17</v>
      </c>
      <c r="K112" s="14">
        <f>COUNTIFS(B:B,"Delta_Logistics",E:E,"Pending") / COUNTIF(B:B,"Delta_Logistics")</f>
        <v>9.9415204678362568E-2</v>
      </c>
      <c r="L112" s="15">
        <v>30143.75</v>
      </c>
      <c r="M112" s="15">
        <v>2133.25</v>
      </c>
      <c r="N112" s="14">
        <f t="shared" si="2"/>
        <v>0.15547169811320755</v>
      </c>
      <c r="O112" s="1">
        <v>0.61</v>
      </c>
      <c r="P112" s="1">
        <f t="shared" si="3"/>
        <v>6.6091954022988481E-2</v>
      </c>
    </row>
    <row r="113" spans="1:16" x14ac:dyDescent="0.45">
      <c r="A113" t="s">
        <v>21</v>
      </c>
      <c r="B113" t="s">
        <v>22</v>
      </c>
      <c r="C113">
        <v>2023</v>
      </c>
      <c r="D113" t="s">
        <v>27</v>
      </c>
      <c r="E113" t="s">
        <v>20</v>
      </c>
      <c r="F113">
        <v>1066</v>
      </c>
      <c r="G113">
        <v>70.45</v>
      </c>
      <c r="H113">
        <v>65.88</v>
      </c>
      <c r="I113">
        <v>56</v>
      </c>
      <c r="J113" t="s">
        <v>28</v>
      </c>
      <c r="K113" s="14">
        <f>COUNTIFS(B:B,"Gamma_Co",E:E,"Delivered") / COUNTIF(B:B,"Gamma_Co")</f>
        <v>0.72027972027972031</v>
      </c>
      <c r="L113" s="15">
        <v>70228.08</v>
      </c>
      <c r="M113" s="15">
        <v>4871.62</v>
      </c>
      <c r="N113" s="14">
        <f t="shared" si="2"/>
        <v>5.2532833020637902E-2</v>
      </c>
      <c r="O113" s="1">
        <v>0.14000000000000001</v>
      </c>
      <c r="P113" s="1">
        <f t="shared" si="3"/>
        <v>6.4868701206529558E-2</v>
      </c>
    </row>
    <row r="114" spans="1:16" x14ac:dyDescent="0.45">
      <c r="A114" t="s">
        <v>24</v>
      </c>
      <c r="B114" t="s">
        <v>25</v>
      </c>
      <c r="C114">
        <v>2023</v>
      </c>
      <c r="D114" t="s">
        <v>27</v>
      </c>
      <c r="E114" t="s">
        <v>20</v>
      </c>
      <c r="F114">
        <v>1775</v>
      </c>
      <c r="G114">
        <v>47.82</v>
      </c>
      <c r="H114">
        <v>45.86</v>
      </c>
      <c r="I114">
        <v>180</v>
      </c>
      <c r="J114" t="s">
        <v>17</v>
      </c>
      <c r="K114" s="14">
        <f>COUNTIFS(B:B,"Beta_Supplies",E:E,"Delivered") / COUNTIF(B:B,"Beta_Supplies")</f>
        <v>0.70512820512820518</v>
      </c>
      <c r="L114" s="15">
        <v>81401.5</v>
      </c>
      <c r="M114" s="15">
        <v>3479</v>
      </c>
      <c r="N114" s="14">
        <f t="shared" si="2"/>
        <v>0.10140845070422536</v>
      </c>
      <c r="O114" s="1">
        <v>0.76</v>
      </c>
      <c r="P114" s="1">
        <f t="shared" si="3"/>
        <v>4.0987034713509007E-2</v>
      </c>
    </row>
    <row r="115" spans="1:16" x14ac:dyDescent="0.45">
      <c r="A115" t="s">
        <v>21</v>
      </c>
      <c r="B115" t="s">
        <v>22</v>
      </c>
      <c r="C115">
        <v>2023</v>
      </c>
      <c r="D115" t="s">
        <v>27</v>
      </c>
      <c r="E115" t="s">
        <v>31</v>
      </c>
      <c r="F115">
        <v>345</v>
      </c>
      <c r="G115">
        <v>103.62</v>
      </c>
      <c r="H115">
        <v>98.09</v>
      </c>
      <c r="I115">
        <v>25</v>
      </c>
      <c r="J115" t="s">
        <v>28</v>
      </c>
      <c r="K115" s="14">
        <f>COUNTIFS(B:B,"Gamma_Co",E:E,"Partially Delivered") / COUNTIF(B:B,"Gamma_Co")</f>
        <v>0.12587412587412589</v>
      </c>
      <c r="L115" s="15">
        <v>33841.050000000003</v>
      </c>
      <c r="M115" s="15">
        <v>1907.85</v>
      </c>
      <c r="N115" s="14">
        <f t="shared" si="2"/>
        <v>7.2463768115942032E-2</v>
      </c>
      <c r="O115" s="1">
        <v>0.14000000000000001</v>
      </c>
      <c r="P115" s="1">
        <f t="shared" si="3"/>
        <v>5.3368075661069297E-2</v>
      </c>
    </row>
    <row r="116" spans="1:16" x14ac:dyDescent="0.45">
      <c r="A116" t="s">
        <v>24</v>
      </c>
      <c r="B116" t="s">
        <v>25</v>
      </c>
      <c r="C116">
        <v>2023</v>
      </c>
      <c r="D116" t="s">
        <v>33</v>
      </c>
      <c r="E116" t="s">
        <v>20</v>
      </c>
      <c r="F116">
        <v>1798</v>
      </c>
      <c r="G116">
        <v>94.8</v>
      </c>
      <c r="H116">
        <v>91.83</v>
      </c>
      <c r="I116">
        <v>105</v>
      </c>
      <c r="J116" t="s">
        <v>17</v>
      </c>
      <c r="K116" s="14">
        <f>COUNTIFS(B:B,"Beta_Supplies",E:E,"Delivered") / COUNTIF(B:B,"Beta_Supplies")</f>
        <v>0.70512820512820518</v>
      </c>
      <c r="L116" s="15">
        <v>165110.34</v>
      </c>
      <c r="M116" s="15">
        <v>5340.06</v>
      </c>
      <c r="N116" s="14">
        <f t="shared" si="2"/>
        <v>5.8398220244716352E-2</v>
      </c>
      <c r="O116" s="1">
        <v>0.76</v>
      </c>
      <c r="P116" s="1">
        <f t="shared" si="3"/>
        <v>3.1329113924050619E-2</v>
      </c>
    </row>
    <row r="117" spans="1:16" x14ac:dyDescent="0.45">
      <c r="A117" t="s">
        <v>13</v>
      </c>
      <c r="B117" t="s">
        <v>14</v>
      </c>
      <c r="C117">
        <v>2023</v>
      </c>
      <c r="D117" t="s">
        <v>23</v>
      </c>
      <c r="E117" t="s">
        <v>20</v>
      </c>
      <c r="F117">
        <v>769</v>
      </c>
      <c r="G117">
        <v>91.86</v>
      </c>
      <c r="H117">
        <v>86.55</v>
      </c>
      <c r="I117">
        <v>17</v>
      </c>
      <c r="J117" t="s">
        <v>17</v>
      </c>
      <c r="K117" s="14">
        <f>COUNTIFS(B:B,"Alpha_Inc",E:E,"Delivered")/COUNTIF(B:B,"Alpha_Inc")</f>
        <v>0.75886524822695034</v>
      </c>
      <c r="L117" s="15">
        <v>66556.95</v>
      </c>
      <c r="M117" s="15">
        <v>4083.39</v>
      </c>
      <c r="N117" s="14">
        <f t="shared" si="2"/>
        <v>2.2106631989596878E-2</v>
      </c>
      <c r="O117" s="1">
        <v>0.94</v>
      </c>
      <c r="P117" s="1">
        <f t="shared" si="3"/>
        <v>5.7805355976485985E-2</v>
      </c>
    </row>
    <row r="118" spans="1:16" x14ac:dyDescent="0.45">
      <c r="A118" t="s">
        <v>13</v>
      </c>
      <c r="B118" t="s">
        <v>14</v>
      </c>
      <c r="C118">
        <v>2022</v>
      </c>
      <c r="D118" t="s">
        <v>26</v>
      </c>
      <c r="E118" t="s">
        <v>20</v>
      </c>
      <c r="F118">
        <v>1822</v>
      </c>
      <c r="G118">
        <v>53.23</v>
      </c>
      <c r="H118">
        <v>47.49</v>
      </c>
      <c r="I118">
        <v>39</v>
      </c>
      <c r="J118" t="s">
        <v>17</v>
      </c>
      <c r="K118" s="14">
        <f>COUNTIFS(B:B,"Alpha_Inc",E:E,"Delivered")/COUNTIF(B:B,"Alpha_Inc")</f>
        <v>0.75886524822695034</v>
      </c>
      <c r="L118" s="15">
        <v>86526.78</v>
      </c>
      <c r="M118" s="15">
        <v>10458.280000000001</v>
      </c>
      <c r="N118" s="14">
        <f t="shared" si="2"/>
        <v>2.1405049396267837E-2</v>
      </c>
      <c r="O118" s="1">
        <v>0.94</v>
      </c>
      <c r="P118" s="1">
        <f t="shared" si="3"/>
        <v>0.10783392823595708</v>
      </c>
    </row>
    <row r="119" spans="1:16" x14ac:dyDescent="0.45">
      <c r="A119" t="s">
        <v>18</v>
      </c>
      <c r="B119" t="s">
        <v>19</v>
      </c>
      <c r="C119">
        <v>2022</v>
      </c>
      <c r="D119" t="s">
        <v>26</v>
      </c>
      <c r="E119" t="s">
        <v>20</v>
      </c>
      <c r="F119">
        <v>387</v>
      </c>
      <c r="G119">
        <v>49.23</v>
      </c>
      <c r="H119">
        <v>45.41</v>
      </c>
      <c r="I119">
        <v>61</v>
      </c>
      <c r="J119" t="s">
        <v>17</v>
      </c>
      <c r="K119" s="14">
        <f>COUNTIFS(B:B,"Delta_Logistics",E:E,"Delivered") / COUNTIF(B:B,"Delta_Logistics")</f>
        <v>0.70175438596491224</v>
      </c>
      <c r="L119" s="15">
        <v>17573.669999999998</v>
      </c>
      <c r="M119" s="15">
        <v>1478.34</v>
      </c>
      <c r="N119" s="14">
        <f t="shared" si="2"/>
        <v>0.15762273901808785</v>
      </c>
      <c r="O119" s="1">
        <v>0.61</v>
      </c>
      <c r="P119" s="1">
        <f t="shared" si="3"/>
        <v>7.7594962421287841E-2</v>
      </c>
    </row>
    <row r="120" spans="1:16" x14ac:dyDescent="0.45">
      <c r="A120" t="s">
        <v>29</v>
      </c>
      <c r="B120" t="s">
        <v>30</v>
      </c>
      <c r="C120">
        <v>2022</v>
      </c>
      <c r="D120" t="s">
        <v>23</v>
      </c>
      <c r="E120" t="s">
        <v>20</v>
      </c>
      <c r="F120">
        <v>928</v>
      </c>
      <c r="G120">
        <v>35.299999999999997</v>
      </c>
      <c r="H120">
        <v>32.520000000000003</v>
      </c>
      <c r="I120">
        <v>26</v>
      </c>
      <c r="J120" t="s">
        <v>17</v>
      </c>
      <c r="K120" s="14">
        <f>COUNTIFS(B:B,"Epsilon_Group",E:E,"Delivered") / COUNTIF(B:B,"Epsilon_Group")</f>
        <v>0.72289156626506024</v>
      </c>
      <c r="L120" s="15">
        <v>30178.560000000001</v>
      </c>
      <c r="M120" s="15">
        <v>2579.84</v>
      </c>
      <c r="N120" s="14">
        <f t="shared" si="2"/>
        <v>2.8017241379310345E-2</v>
      </c>
      <c r="O120" s="1">
        <v>0.98</v>
      </c>
      <c r="P120" s="1">
        <f t="shared" si="3"/>
        <v>7.8753541076487091E-2</v>
      </c>
    </row>
    <row r="121" spans="1:16" x14ac:dyDescent="0.45">
      <c r="A121" t="s">
        <v>13</v>
      </c>
      <c r="B121" t="s">
        <v>14</v>
      </c>
      <c r="C121">
        <v>2022</v>
      </c>
      <c r="D121" t="s">
        <v>26</v>
      </c>
      <c r="E121" t="s">
        <v>31</v>
      </c>
      <c r="F121">
        <v>1126</v>
      </c>
      <c r="G121">
        <v>15.68</v>
      </c>
      <c r="H121">
        <v>14.97</v>
      </c>
      <c r="I121">
        <v>27</v>
      </c>
      <c r="J121" t="s">
        <v>17</v>
      </c>
      <c r="K121" s="14">
        <f>COUNTIFS(B:B,"Alpha_Inc",E:E,"Partially Delivered")/COUNTIF(B:B,"Alpha_Inc")</f>
        <v>7.0921985815602842E-2</v>
      </c>
      <c r="L121" s="15">
        <v>16856.22</v>
      </c>
      <c r="M121" s="15">
        <v>799.46</v>
      </c>
      <c r="N121" s="14">
        <f t="shared" si="2"/>
        <v>2.3978685612788632E-2</v>
      </c>
      <c r="O121" s="1">
        <v>0.94</v>
      </c>
      <c r="P121" s="1">
        <f t="shared" si="3"/>
        <v>4.5280612244897898E-2</v>
      </c>
    </row>
    <row r="122" spans="1:16" x14ac:dyDescent="0.45">
      <c r="A122" t="s">
        <v>24</v>
      </c>
      <c r="B122" t="s">
        <v>25</v>
      </c>
      <c r="C122">
        <v>2023</v>
      </c>
      <c r="D122" t="s">
        <v>27</v>
      </c>
      <c r="E122" t="s">
        <v>16</v>
      </c>
      <c r="F122">
        <v>841</v>
      </c>
      <c r="G122">
        <v>95.73</v>
      </c>
      <c r="H122">
        <v>85.33</v>
      </c>
      <c r="I122">
        <v>81</v>
      </c>
      <c r="J122" t="s">
        <v>17</v>
      </c>
      <c r="K122" s="14">
        <f>COUNTIFS(B:B,"Beta_Supplies",E:E,"Cancelled")/COUNTIF(B:B,"Beta_Supplies")</f>
        <v>8.9743589743589744E-2</v>
      </c>
      <c r="L122" s="15">
        <v>71762.53</v>
      </c>
      <c r="M122" s="15">
        <v>8746.4</v>
      </c>
      <c r="N122" s="14">
        <f t="shared" si="2"/>
        <v>9.631391200951249E-2</v>
      </c>
      <c r="O122" s="1">
        <v>0.76</v>
      </c>
      <c r="P122" s="1">
        <f t="shared" si="3"/>
        <v>0.10863888018385047</v>
      </c>
    </row>
    <row r="123" spans="1:16" x14ac:dyDescent="0.45">
      <c r="A123" t="s">
        <v>24</v>
      </c>
      <c r="B123" t="s">
        <v>25</v>
      </c>
      <c r="C123">
        <v>2023</v>
      </c>
      <c r="D123" t="s">
        <v>33</v>
      </c>
      <c r="E123" t="s">
        <v>20</v>
      </c>
      <c r="F123">
        <v>1995</v>
      </c>
      <c r="G123">
        <v>90.65</v>
      </c>
      <c r="H123">
        <v>77.75</v>
      </c>
      <c r="I123">
        <v>206</v>
      </c>
      <c r="J123" t="s">
        <v>17</v>
      </c>
      <c r="K123" s="14">
        <f>COUNTIFS(B:B,"Beta_Supplies",E:E,"Delivered") / COUNTIF(B:B,"Beta_Supplies")</f>
        <v>0.70512820512820518</v>
      </c>
      <c r="L123" s="15">
        <v>155111.25</v>
      </c>
      <c r="M123" s="15">
        <v>25735.5</v>
      </c>
      <c r="N123" s="14">
        <f t="shared" si="2"/>
        <v>0.10325814536340852</v>
      </c>
      <c r="O123" s="1">
        <v>0.76</v>
      </c>
      <c r="P123" s="1">
        <f t="shared" si="3"/>
        <v>0.14230557087699949</v>
      </c>
    </row>
    <row r="124" spans="1:16" x14ac:dyDescent="0.45">
      <c r="A124" t="s">
        <v>13</v>
      </c>
      <c r="B124" t="s">
        <v>14</v>
      </c>
      <c r="C124">
        <v>2022</v>
      </c>
      <c r="D124" t="s">
        <v>27</v>
      </c>
      <c r="E124" t="s">
        <v>20</v>
      </c>
      <c r="F124">
        <v>266</v>
      </c>
      <c r="G124">
        <v>103.97</v>
      </c>
      <c r="H124">
        <v>101.44</v>
      </c>
      <c r="I124">
        <v>6</v>
      </c>
      <c r="J124" t="s">
        <v>17</v>
      </c>
      <c r="K124" s="14">
        <f>COUNTIFS(B:B,"Alpha_Inc",E:E,"Delivered")/COUNTIF(B:B,"Alpha_Inc")</f>
        <v>0.75886524822695034</v>
      </c>
      <c r="L124" s="15">
        <v>26983.040000000001</v>
      </c>
      <c r="M124" s="15">
        <v>672.98</v>
      </c>
      <c r="N124" s="14">
        <f t="shared" si="2"/>
        <v>2.2556390977443608E-2</v>
      </c>
      <c r="O124" s="1">
        <v>0.94</v>
      </c>
      <c r="P124" s="1">
        <f t="shared" si="3"/>
        <v>2.4333942483408685E-2</v>
      </c>
    </row>
    <row r="125" spans="1:16" x14ac:dyDescent="0.45">
      <c r="A125" t="s">
        <v>13</v>
      </c>
      <c r="B125" t="s">
        <v>14</v>
      </c>
      <c r="C125">
        <v>2023</v>
      </c>
      <c r="D125" t="s">
        <v>27</v>
      </c>
      <c r="E125" t="s">
        <v>16</v>
      </c>
      <c r="F125">
        <v>813</v>
      </c>
      <c r="G125">
        <v>109.17</v>
      </c>
      <c r="H125">
        <v>107.39</v>
      </c>
      <c r="I125">
        <v>14</v>
      </c>
      <c r="J125" t="s">
        <v>17</v>
      </c>
      <c r="K125" s="14">
        <f>COUNTIFS(B:B,"Alpha_Inc",E:E,"Cancelled") / COUNTIF(B:B,"Alpha_Inc")</f>
        <v>9.2198581560283682E-2</v>
      </c>
      <c r="L125" s="15">
        <v>87308.07</v>
      </c>
      <c r="M125" s="15">
        <v>1447.14</v>
      </c>
      <c r="N125" s="14">
        <f t="shared" si="2"/>
        <v>1.7220172201722016E-2</v>
      </c>
      <c r="O125" s="1">
        <v>0.94</v>
      </c>
      <c r="P125" s="1">
        <f t="shared" si="3"/>
        <v>1.6304845653567841E-2</v>
      </c>
    </row>
    <row r="126" spans="1:16" x14ac:dyDescent="0.45">
      <c r="A126" t="s">
        <v>29</v>
      </c>
      <c r="B126" t="s">
        <v>30</v>
      </c>
      <c r="C126">
        <v>2023</v>
      </c>
      <c r="D126" t="s">
        <v>33</v>
      </c>
      <c r="E126" t="s">
        <v>20</v>
      </c>
      <c r="F126">
        <v>237</v>
      </c>
      <c r="G126">
        <v>64.19</v>
      </c>
      <c r="H126">
        <v>59.01</v>
      </c>
      <c r="I126">
        <v>7</v>
      </c>
      <c r="J126" t="s">
        <v>17</v>
      </c>
      <c r="K126" s="14">
        <f>COUNTIFS(B:B,"Epsilon_Group",E:E,"Delivered") / COUNTIF(B:B,"Epsilon_Group")</f>
        <v>0.72289156626506024</v>
      </c>
      <c r="L126" s="15">
        <v>13985.37</v>
      </c>
      <c r="M126" s="15">
        <v>1227.6600000000001</v>
      </c>
      <c r="N126" s="14">
        <f t="shared" si="2"/>
        <v>2.9535864978902954E-2</v>
      </c>
      <c r="O126" s="1">
        <v>0.98</v>
      </c>
      <c r="P126" s="1">
        <f t="shared" si="3"/>
        <v>8.0697928026172303E-2</v>
      </c>
    </row>
    <row r="127" spans="1:16" x14ac:dyDescent="0.45">
      <c r="A127" t="s">
        <v>13</v>
      </c>
      <c r="B127" t="s">
        <v>14</v>
      </c>
      <c r="C127">
        <v>2023</v>
      </c>
      <c r="D127" t="s">
        <v>15</v>
      </c>
      <c r="E127" t="s">
        <v>16</v>
      </c>
      <c r="F127">
        <v>429</v>
      </c>
      <c r="G127">
        <v>86.73</v>
      </c>
      <c r="H127">
        <v>75.09</v>
      </c>
      <c r="I127">
        <v>9</v>
      </c>
      <c r="J127" t="s">
        <v>17</v>
      </c>
      <c r="K127" s="14">
        <f>COUNTIFS(B:B,"Alpha_Inc",E:E,"Cancelled") / COUNTIF(B:B,"Alpha_Inc")</f>
        <v>9.2198581560283682E-2</v>
      </c>
      <c r="L127" s="15">
        <v>32213.61</v>
      </c>
      <c r="M127" s="15">
        <v>4993.5600000000004</v>
      </c>
      <c r="N127" s="14">
        <f t="shared" si="2"/>
        <v>2.097902097902098E-2</v>
      </c>
      <c r="O127" s="1">
        <v>0.94</v>
      </c>
      <c r="P127" s="1">
        <f t="shared" si="3"/>
        <v>0.13420961604980974</v>
      </c>
    </row>
    <row r="128" spans="1:16" x14ac:dyDescent="0.45">
      <c r="A128" t="s">
        <v>18</v>
      </c>
      <c r="B128" t="s">
        <v>19</v>
      </c>
      <c r="C128">
        <v>2023</v>
      </c>
      <c r="D128" t="s">
        <v>26</v>
      </c>
      <c r="E128" t="s">
        <v>20</v>
      </c>
      <c r="F128">
        <v>542</v>
      </c>
      <c r="G128">
        <v>101.21</v>
      </c>
      <c r="H128">
        <v>93.11</v>
      </c>
      <c r="I128">
        <v>78</v>
      </c>
      <c r="J128" t="s">
        <v>28</v>
      </c>
      <c r="K128" s="14">
        <f>COUNTIFS(B:B,"Delta_Logistics",E:E,"Delivered") / COUNTIF(B:B,"Delta_Logistics")</f>
        <v>0.70175438596491224</v>
      </c>
      <c r="L128" s="15">
        <v>50465.62</v>
      </c>
      <c r="M128" s="15">
        <v>4390.2</v>
      </c>
      <c r="N128" s="14">
        <f t="shared" si="2"/>
        <v>0.14391143911439114</v>
      </c>
      <c r="O128" s="1">
        <v>0.39</v>
      </c>
      <c r="P128" s="1">
        <f t="shared" si="3"/>
        <v>8.0031617429107749E-2</v>
      </c>
    </row>
    <row r="129" spans="1:16" x14ac:dyDescent="0.45">
      <c r="A129" t="s">
        <v>29</v>
      </c>
      <c r="B129" t="s">
        <v>30</v>
      </c>
      <c r="C129">
        <v>2023</v>
      </c>
      <c r="D129" t="s">
        <v>33</v>
      </c>
      <c r="E129" t="s">
        <v>20</v>
      </c>
      <c r="F129">
        <v>1114</v>
      </c>
      <c r="G129">
        <v>91.66</v>
      </c>
      <c r="H129">
        <v>85.53</v>
      </c>
      <c r="I129">
        <v>35</v>
      </c>
      <c r="J129" t="s">
        <v>17</v>
      </c>
      <c r="K129" s="14">
        <f>COUNTIFS(B:B,"Epsilon_Group",E:E,"Delivered") / COUNTIF(B:B,"Epsilon_Group")</f>
        <v>0.72289156626506024</v>
      </c>
      <c r="L129" s="15">
        <v>95280.42</v>
      </c>
      <c r="M129" s="15">
        <v>6828.82</v>
      </c>
      <c r="N129" s="14">
        <f t="shared" si="2"/>
        <v>3.141831238779174E-2</v>
      </c>
      <c r="O129" s="1">
        <v>0.98</v>
      </c>
      <c r="P129" s="1">
        <f t="shared" si="3"/>
        <v>6.6877591097534314E-2</v>
      </c>
    </row>
    <row r="130" spans="1:16" x14ac:dyDescent="0.45">
      <c r="A130" t="s">
        <v>13</v>
      </c>
      <c r="B130" t="s">
        <v>14</v>
      </c>
      <c r="C130">
        <v>2022</v>
      </c>
      <c r="D130" t="s">
        <v>23</v>
      </c>
      <c r="E130" t="s">
        <v>20</v>
      </c>
      <c r="F130">
        <v>1230</v>
      </c>
      <c r="G130">
        <v>33.39</v>
      </c>
      <c r="H130">
        <v>30.85</v>
      </c>
      <c r="I130">
        <v>26</v>
      </c>
      <c r="J130" t="s">
        <v>17</v>
      </c>
      <c r="K130" s="14">
        <f>COUNTIFS(B:B,"Alpha_Inc",E:E,"Delivered")/COUNTIF(B:B,"Alpha_Inc")</f>
        <v>0.75886524822695034</v>
      </c>
      <c r="L130" s="15">
        <v>37945.5</v>
      </c>
      <c r="M130" s="15">
        <v>3124.2</v>
      </c>
      <c r="N130" s="14">
        <f t="shared" ref="N130:N193" si="4">I130/F130</f>
        <v>2.113821138211382E-2</v>
      </c>
      <c r="O130" s="1">
        <v>0.94</v>
      </c>
      <c r="P130" s="1">
        <f t="shared" si="3"/>
        <v>7.607067984426473E-2</v>
      </c>
    </row>
    <row r="131" spans="1:16" x14ac:dyDescent="0.45">
      <c r="A131" t="s">
        <v>24</v>
      </c>
      <c r="B131" t="s">
        <v>25</v>
      </c>
      <c r="C131">
        <v>2022</v>
      </c>
      <c r="D131" t="s">
        <v>23</v>
      </c>
      <c r="E131" t="s">
        <v>20</v>
      </c>
      <c r="F131">
        <v>64</v>
      </c>
      <c r="G131">
        <v>51.56</v>
      </c>
      <c r="H131">
        <v>50.88</v>
      </c>
      <c r="I131">
        <v>5</v>
      </c>
      <c r="J131" t="s">
        <v>17</v>
      </c>
      <c r="K131" s="14">
        <f>COUNTIFS(B:B,"Beta_Supplies",E:E,"Delivered") / COUNTIF(B:B,"Beta_Supplies")</f>
        <v>0.70512820512820518</v>
      </c>
      <c r="L131" s="15">
        <v>3256.32</v>
      </c>
      <c r="M131" s="15">
        <v>43.52</v>
      </c>
      <c r="N131" s="14">
        <f t="shared" si="4"/>
        <v>7.8125E-2</v>
      </c>
      <c r="O131" s="1">
        <v>0.76</v>
      </c>
      <c r="P131" s="1">
        <f t="shared" ref="P131:P194" si="5">((G131-H131)/G131)</f>
        <v>1.318851823118696E-2</v>
      </c>
    </row>
    <row r="132" spans="1:16" x14ac:dyDescent="0.45">
      <c r="A132" t="s">
        <v>13</v>
      </c>
      <c r="B132" t="s">
        <v>14</v>
      </c>
      <c r="C132">
        <v>2023</v>
      </c>
      <c r="D132" t="s">
        <v>23</v>
      </c>
      <c r="E132" t="s">
        <v>20</v>
      </c>
      <c r="F132">
        <v>1886</v>
      </c>
      <c r="G132">
        <v>23.46</v>
      </c>
      <c r="H132">
        <v>23.18</v>
      </c>
      <c r="I132">
        <v>24</v>
      </c>
      <c r="J132" t="s">
        <v>17</v>
      </c>
      <c r="K132" s="14">
        <f>COUNTIFS(B:B,"Alpha_Inc",E:E,"Delivered")/COUNTIF(B:B,"Alpha_Inc")</f>
        <v>0.75886524822695034</v>
      </c>
      <c r="L132" s="15">
        <v>43717.48</v>
      </c>
      <c r="M132" s="15">
        <v>528.08000000000004</v>
      </c>
      <c r="N132" s="14">
        <f t="shared" si="4"/>
        <v>1.2725344644750796E-2</v>
      </c>
      <c r="O132" s="1">
        <v>0.94</v>
      </c>
      <c r="P132" s="1">
        <f t="shared" si="5"/>
        <v>1.1935208866155206E-2</v>
      </c>
    </row>
    <row r="133" spans="1:16" x14ac:dyDescent="0.45">
      <c r="A133" t="s">
        <v>18</v>
      </c>
      <c r="B133" t="s">
        <v>19</v>
      </c>
      <c r="C133">
        <v>2023</v>
      </c>
      <c r="D133" t="s">
        <v>15</v>
      </c>
      <c r="E133" t="s">
        <v>20</v>
      </c>
      <c r="F133">
        <v>114</v>
      </c>
      <c r="G133">
        <v>103.53</v>
      </c>
      <c r="H133">
        <v>101.54</v>
      </c>
      <c r="I133">
        <v>14</v>
      </c>
      <c r="J133" t="s">
        <v>17</v>
      </c>
      <c r="K133" s="14">
        <f>COUNTIFS(B:B,"Delta_Logistics",E:E,"Delivered") / COUNTIF(B:B,"Delta_Logistics")</f>
        <v>0.70175438596491224</v>
      </c>
      <c r="L133" s="15">
        <v>11575.56</v>
      </c>
      <c r="M133" s="15">
        <v>226.86</v>
      </c>
      <c r="N133" s="14">
        <f t="shared" si="4"/>
        <v>0.12280701754385964</v>
      </c>
      <c r="O133" s="1">
        <v>0.61</v>
      </c>
      <c r="P133" s="1">
        <f t="shared" si="5"/>
        <v>1.9221481696126676E-2</v>
      </c>
    </row>
    <row r="134" spans="1:16" x14ac:dyDescent="0.45">
      <c r="A134" t="s">
        <v>18</v>
      </c>
      <c r="B134" t="s">
        <v>19</v>
      </c>
      <c r="C134">
        <v>2022</v>
      </c>
      <c r="D134" t="s">
        <v>33</v>
      </c>
      <c r="E134" t="s">
        <v>16</v>
      </c>
      <c r="F134">
        <v>1930</v>
      </c>
      <c r="G134">
        <v>65.52</v>
      </c>
      <c r="H134">
        <v>56.9</v>
      </c>
      <c r="I134">
        <v>282</v>
      </c>
      <c r="J134" t="s">
        <v>17</v>
      </c>
      <c r="K134" s="14">
        <f>COUNTIFS(B:B,"Delta_Logistics",E:E,"Cancelled") / COUNTIF(B:B,"Delta_Logistics")</f>
        <v>9.3567251461988299E-2</v>
      </c>
      <c r="L134" s="15">
        <v>109817</v>
      </c>
      <c r="M134" s="15">
        <v>16636.599999999999</v>
      </c>
      <c r="N134" s="14">
        <f t="shared" si="4"/>
        <v>0.14611398963730571</v>
      </c>
      <c r="O134" s="1">
        <v>0.61</v>
      </c>
      <c r="P134" s="1">
        <f t="shared" si="5"/>
        <v>0.13156288156288154</v>
      </c>
    </row>
    <row r="135" spans="1:16" x14ac:dyDescent="0.45">
      <c r="A135" t="s">
        <v>24</v>
      </c>
      <c r="B135" t="s">
        <v>25</v>
      </c>
      <c r="C135">
        <v>2022</v>
      </c>
      <c r="D135" t="s">
        <v>15</v>
      </c>
      <c r="E135" t="s">
        <v>32</v>
      </c>
      <c r="F135">
        <v>1912</v>
      </c>
      <c r="G135">
        <v>30.73</v>
      </c>
      <c r="H135">
        <v>29.82</v>
      </c>
      <c r="I135">
        <v>191</v>
      </c>
      <c r="J135" t="s">
        <v>17</v>
      </c>
      <c r="K135" s="14">
        <f>COUNTIFS(B:B,"Beta_Supplies",E:E,"Pending") / COUNTIF(B:B,"Beta_Supplies")</f>
        <v>0.12179487179487179</v>
      </c>
      <c r="L135" s="15">
        <v>57015.839999999997</v>
      </c>
      <c r="M135" s="15">
        <v>1739.92</v>
      </c>
      <c r="N135" s="14">
        <f t="shared" si="4"/>
        <v>9.9895397489539753E-2</v>
      </c>
      <c r="O135" s="1">
        <v>0.76</v>
      </c>
      <c r="P135" s="1">
        <f t="shared" si="5"/>
        <v>2.9612756264236907E-2</v>
      </c>
    </row>
    <row r="136" spans="1:16" x14ac:dyDescent="0.45">
      <c r="A136" t="s">
        <v>29</v>
      </c>
      <c r="B136" t="s">
        <v>30</v>
      </c>
      <c r="C136">
        <v>2022</v>
      </c>
      <c r="D136" t="s">
        <v>23</v>
      </c>
      <c r="E136" t="s">
        <v>20</v>
      </c>
      <c r="F136">
        <v>570</v>
      </c>
      <c r="G136">
        <v>71.510000000000005</v>
      </c>
      <c r="H136">
        <v>66.47</v>
      </c>
      <c r="I136">
        <v>33</v>
      </c>
      <c r="J136" t="s">
        <v>17</v>
      </c>
      <c r="K136" s="14">
        <f>COUNTIFS(B:B,"Epsilon_Group",E:E,"Delivered") / COUNTIF(B:B,"Epsilon_Group")</f>
        <v>0.72289156626506024</v>
      </c>
      <c r="L136" s="15">
        <v>37887.9</v>
      </c>
      <c r="M136" s="15">
        <v>2872.8</v>
      </c>
      <c r="N136" s="14">
        <f t="shared" si="4"/>
        <v>5.7894736842105263E-2</v>
      </c>
      <c r="O136" s="1">
        <v>0.98</v>
      </c>
      <c r="P136" s="1">
        <f t="shared" si="5"/>
        <v>7.0479653195357372E-2</v>
      </c>
    </row>
    <row r="137" spans="1:16" x14ac:dyDescent="0.45">
      <c r="A137" t="s">
        <v>24</v>
      </c>
      <c r="B137" t="s">
        <v>25</v>
      </c>
      <c r="C137">
        <v>2022</v>
      </c>
      <c r="D137" t="s">
        <v>27</v>
      </c>
      <c r="E137" t="s">
        <v>20</v>
      </c>
      <c r="F137">
        <v>1417</v>
      </c>
      <c r="G137">
        <v>67.27</v>
      </c>
      <c r="H137">
        <v>60.62</v>
      </c>
      <c r="I137">
        <v>105</v>
      </c>
      <c r="J137" t="s">
        <v>17</v>
      </c>
      <c r="K137" s="14">
        <f>COUNTIFS(B:B,"Beta_Supplies",E:E,"Delivered") / COUNTIF(B:B,"Beta_Supplies")</f>
        <v>0.70512820512820518</v>
      </c>
      <c r="L137" s="15">
        <v>85898.54</v>
      </c>
      <c r="M137" s="15">
        <v>9423.0499999999993</v>
      </c>
      <c r="N137" s="14">
        <f t="shared" si="4"/>
        <v>7.4100211714890618E-2</v>
      </c>
      <c r="O137" s="1">
        <v>0.76</v>
      </c>
      <c r="P137" s="1">
        <f t="shared" si="5"/>
        <v>9.8855359001040574E-2</v>
      </c>
    </row>
    <row r="138" spans="1:16" x14ac:dyDescent="0.45">
      <c r="A138" t="s">
        <v>13</v>
      </c>
      <c r="B138" t="s">
        <v>14</v>
      </c>
      <c r="C138">
        <v>2023</v>
      </c>
      <c r="D138" t="s">
        <v>27</v>
      </c>
      <c r="E138" t="s">
        <v>20</v>
      </c>
      <c r="F138">
        <v>1202</v>
      </c>
      <c r="G138">
        <v>46.67</v>
      </c>
      <c r="H138">
        <v>44.13</v>
      </c>
      <c r="I138">
        <v>21</v>
      </c>
      <c r="J138" t="s">
        <v>28</v>
      </c>
      <c r="K138" s="14">
        <f>COUNTIFS(B:B,"Alpha_Inc",E:E,"Delivered")/COUNTIF(B:B,"Alpha_Inc")</f>
        <v>0.75886524822695034</v>
      </c>
      <c r="L138" s="15">
        <v>53044.26</v>
      </c>
      <c r="M138" s="15">
        <v>3053.08</v>
      </c>
      <c r="N138" s="14">
        <f t="shared" si="4"/>
        <v>1.747088186356073E-2</v>
      </c>
      <c r="O138" s="1">
        <v>0.06</v>
      </c>
      <c r="P138" s="1">
        <f t="shared" si="5"/>
        <v>5.442468395114633E-2</v>
      </c>
    </row>
    <row r="139" spans="1:16" x14ac:dyDescent="0.45">
      <c r="A139" t="s">
        <v>24</v>
      </c>
      <c r="B139" t="s">
        <v>25</v>
      </c>
      <c r="C139">
        <v>2022</v>
      </c>
      <c r="D139" t="s">
        <v>15</v>
      </c>
      <c r="E139" t="s">
        <v>20</v>
      </c>
      <c r="F139">
        <v>697</v>
      </c>
      <c r="G139">
        <v>20.73</v>
      </c>
      <c r="H139">
        <v>19.829999999999998</v>
      </c>
      <c r="I139">
        <v>78</v>
      </c>
      <c r="J139" t="s">
        <v>28</v>
      </c>
      <c r="K139" s="14">
        <f>COUNTIFS(B:B,"Beta_Supplies",E:E,"Delivered") / COUNTIF(B:B,"Beta_Supplies")</f>
        <v>0.70512820512820518</v>
      </c>
      <c r="L139" s="15">
        <v>13821.51</v>
      </c>
      <c r="M139" s="15">
        <v>627.29999999999995</v>
      </c>
      <c r="N139" s="14">
        <f t="shared" si="4"/>
        <v>0.11190817790530846</v>
      </c>
      <c r="O139" s="1">
        <v>0.24</v>
      </c>
      <c r="P139" s="1">
        <f t="shared" si="5"/>
        <v>4.3415340086830782E-2</v>
      </c>
    </row>
    <row r="140" spans="1:16" x14ac:dyDescent="0.45">
      <c r="A140" t="s">
        <v>29</v>
      </c>
      <c r="B140" t="s">
        <v>30</v>
      </c>
      <c r="C140">
        <v>2023</v>
      </c>
      <c r="D140" t="s">
        <v>23</v>
      </c>
      <c r="E140" t="s">
        <v>20</v>
      </c>
      <c r="F140">
        <v>1545</v>
      </c>
      <c r="G140">
        <v>78.19</v>
      </c>
      <c r="H140">
        <v>76.91</v>
      </c>
      <c r="I140">
        <v>42</v>
      </c>
      <c r="J140" t="s">
        <v>17</v>
      </c>
      <c r="K140" s="14">
        <f>COUNTIFS(B:B,"Epsilon_Group",E:E,"Delivered") / COUNTIF(B:B,"Epsilon_Group")</f>
        <v>0.72289156626506024</v>
      </c>
      <c r="L140" s="15">
        <v>118825.95</v>
      </c>
      <c r="M140" s="15">
        <v>1977.6</v>
      </c>
      <c r="N140" s="14">
        <f t="shared" si="4"/>
        <v>2.7184466019417475E-2</v>
      </c>
      <c r="O140" s="1">
        <v>0.98</v>
      </c>
      <c r="P140" s="1">
        <f t="shared" si="5"/>
        <v>1.6370379843969832E-2</v>
      </c>
    </row>
    <row r="141" spans="1:16" x14ac:dyDescent="0.45">
      <c r="A141" t="s">
        <v>21</v>
      </c>
      <c r="B141" t="s">
        <v>22</v>
      </c>
      <c r="C141">
        <v>2023</v>
      </c>
      <c r="D141" t="s">
        <v>23</v>
      </c>
      <c r="E141" t="s">
        <v>31</v>
      </c>
      <c r="F141">
        <v>1136</v>
      </c>
      <c r="G141">
        <v>60.81</v>
      </c>
      <c r="H141">
        <v>58.25</v>
      </c>
      <c r="I141">
        <v>62</v>
      </c>
      <c r="J141" t="s">
        <v>17</v>
      </c>
      <c r="K141" s="14">
        <f>COUNTIFS(B:B,"Gamma_Co",E:E,"Partially Delivered") / COUNTIF(B:B,"Gamma_Co")</f>
        <v>0.12587412587412589</v>
      </c>
      <c r="L141" s="15">
        <v>66172</v>
      </c>
      <c r="M141" s="15">
        <v>2908.16</v>
      </c>
      <c r="N141" s="14">
        <f t="shared" si="4"/>
        <v>5.4577464788732391E-2</v>
      </c>
      <c r="O141" s="1">
        <v>0.86</v>
      </c>
      <c r="P141" s="1">
        <f t="shared" si="5"/>
        <v>4.2098339088965667E-2</v>
      </c>
    </row>
    <row r="142" spans="1:16" x14ac:dyDescent="0.45">
      <c r="A142" t="s">
        <v>24</v>
      </c>
      <c r="B142" t="s">
        <v>25</v>
      </c>
      <c r="C142">
        <v>2023</v>
      </c>
      <c r="D142" t="s">
        <v>23</v>
      </c>
      <c r="E142" t="s">
        <v>20</v>
      </c>
      <c r="F142">
        <v>1212</v>
      </c>
      <c r="G142">
        <v>87.46</v>
      </c>
      <c r="H142">
        <v>74.55</v>
      </c>
      <c r="I142">
        <v>118</v>
      </c>
      <c r="J142" t="s">
        <v>28</v>
      </c>
      <c r="K142" s="14">
        <f>COUNTIFS(B:B,"Beta_Supplies",E:E,"Delivered") / COUNTIF(B:B,"Beta_Supplies")</f>
        <v>0.70512820512820518</v>
      </c>
      <c r="L142" s="15">
        <v>90354.6</v>
      </c>
      <c r="M142" s="15">
        <v>15646.92</v>
      </c>
      <c r="N142" s="14">
        <f t="shared" si="4"/>
        <v>9.7359735973597358E-2</v>
      </c>
      <c r="O142" s="1">
        <v>0.24</v>
      </c>
      <c r="P142" s="1">
        <f t="shared" si="5"/>
        <v>0.14761033615367022</v>
      </c>
    </row>
    <row r="143" spans="1:16" x14ac:dyDescent="0.45">
      <c r="A143" t="s">
        <v>29</v>
      </c>
      <c r="B143" t="s">
        <v>30</v>
      </c>
      <c r="C143">
        <v>2022</v>
      </c>
      <c r="D143" t="s">
        <v>23</v>
      </c>
      <c r="E143" t="s">
        <v>20</v>
      </c>
      <c r="F143">
        <v>1572</v>
      </c>
      <c r="G143">
        <v>57.38</v>
      </c>
      <c r="H143">
        <v>49.32</v>
      </c>
      <c r="I143">
        <v>40</v>
      </c>
      <c r="J143" t="s">
        <v>17</v>
      </c>
      <c r="K143" s="14">
        <f>COUNTIFS(B:B,"Epsilon_Group",E:E,"Delivered") / COUNTIF(B:B,"Epsilon_Group")</f>
        <v>0.72289156626506024</v>
      </c>
      <c r="L143" s="15">
        <v>77531.039999999994</v>
      </c>
      <c r="M143" s="15">
        <v>12670.32</v>
      </c>
      <c r="N143" s="14">
        <f t="shared" si="4"/>
        <v>2.5445292620865138E-2</v>
      </c>
      <c r="O143" s="1">
        <v>0.98</v>
      </c>
      <c r="P143" s="1">
        <f t="shared" si="5"/>
        <v>0.14046706169397005</v>
      </c>
    </row>
    <row r="144" spans="1:16" x14ac:dyDescent="0.45">
      <c r="A144" t="s">
        <v>21</v>
      </c>
      <c r="B144" t="s">
        <v>22</v>
      </c>
      <c r="C144">
        <v>2023</v>
      </c>
      <c r="D144" t="s">
        <v>33</v>
      </c>
      <c r="E144" t="s">
        <v>20</v>
      </c>
      <c r="F144">
        <v>642</v>
      </c>
      <c r="G144">
        <v>91.9</v>
      </c>
      <c r="H144">
        <v>81.489999999999995</v>
      </c>
      <c r="I144">
        <v>26</v>
      </c>
      <c r="J144" t="s">
        <v>17</v>
      </c>
      <c r="K144" s="14">
        <f>COUNTIFS(B:B,"Gamma_Co",E:E,"Delivered") / COUNTIF(B:B,"Gamma_Co")</f>
        <v>0.72027972027972031</v>
      </c>
      <c r="L144" s="15">
        <v>52316.58</v>
      </c>
      <c r="M144" s="15">
        <v>6683.22</v>
      </c>
      <c r="N144" s="14">
        <f t="shared" si="4"/>
        <v>4.0498442367601244E-2</v>
      </c>
      <c r="O144" s="1">
        <v>0.86</v>
      </c>
      <c r="P144" s="1">
        <f t="shared" si="5"/>
        <v>0.11327529923830261</v>
      </c>
    </row>
    <row r="145" spans="1:16" x14ac:dyDescent="0.45">
      <c r="A145" t="s">
        <v>29</v>
      </c>
      <c r="B145" t="s">
        <v>30</v>
      </c>
      <c r="C145">
        <v>2023</v>
      </c>
      <c r="D145" t="s">
        <v>15</v>
      </c>
      <c r="E145" t="s">
        <v>20</v>
      </c>
      <c r="F145">
        <v>441</v>
      </c>
      <c r="G145">
        <v>63.25</v>
      </c>
      <c r="H145">
        <v>54.12</v>
      </c>
      <c r="I145">
        <v>16</v>
      </c>
      <c r="J145" t="s">
        <v>17</v>
      </c>
      <c r="K145" s="14">
        <f>COUNTIFS(B:B,"Epsilon_Group",E:E,"Delivered") / COUNTIF(B:B,"Epsilon_Group")</f>
        <v>0.72289156626506024</v>
      </c>
      <c r="L145" s="15">
        <v>23866.92</v>
      </c>
      <c r="M145" s="15">
        <v>4026.33</v>
      </c>
      <c r="N145" s="14">
        <f t="shared" si="4"/>
        <v>3.6281179138321996E-2</v>
      </c>
      <c r="O145" s="1">
        <v>0.98</v>
      </c>
      <c r="P145" s="1">
        <f t="shared" si="5"/>
        <v>0.14434782608695657</v>
      </c>
    </row>
    <row r="146" spans="1:16" x14ac:dyDescent="0.45">
      <c r="A146" t="s">
        <v>29</v>
      </c>
      <c r="B146" t="s">
        <v>30</v>
      </c>
      <c r="C146">
        <v>2023</v>
      </c>
      <c r="D146" t="s">
        <v>15</v>
      </c>
      <c r="E146" t="s">
        <v>20</v>
      </c>
      <c r="F146">
        <v>1748</v>
      </c>
      <c r="G146">
        <v>66.53</v>
      </c>
      <c r="H146">
        <v>57.11</v>
      </c>
      <c r="I146">
        <v>33</v>
      </c>
      <c r="J146" t="s">
        <v>17</v>
      </c>
      <c r="K146" s="14">
        <f>COUNTIFS(B:B,"Epsilon_Group",E:E,"Delivered") / COUNTIF(B:B,"Epsilon_Group")</f>
        <v>0.72289156626506024</v>
      </c>
      <c r="L146" s="15">
        <v>99828.28</v>
      </c>
      <c r="M146" s="15">
        <v>16466.16</v>
      </c>
      <c r="N146" s="14">
        <f t="shared" si="4"/>
        <v>1.8878718535469109E-2</v>
      </c>
      <c r="O146" s="1">
        <v>0.98</v>
      </c>
      <c r="P146" s="1">
        <f t="shared" si="5"/>
        <v>0.14159026003306782</v>
      </c>
    </row>
    <row r="147" spans="1:16" x14ac:dyDescent="0.45">
      <c r="A147" t="s">
        <v>21</v>
      </c>
      <c r="B147" t="s">
        <v>22</v>
      </c>
      <c r="C147">
        <v>2023</v>
      </c>
      <c r="D147" t="s">
        <v>33</v>
      </c>
      <c r="E147" t="s">
        <v>32</v>
      </c>
      <c r="F147">
        <v>468</v>
      </c>
      <c r="G147">
        <v>95.57</v>
      </c>
      <c r="H147">
        <v>91.8</v>
      </c>
      <c r="I147">
        <v>24</v>
      </c>
      <c r="J147" t="s">
        <v>17</v>
      </c>
      <c r="K147" s="14">
        <f>COUNTIFS(B:B,"Gamma_Co",E:E,"Pending") / COUNTIF(B:B,"Gamma_Co")</f>
        <v>0.11188811188811189</v>
      </c>
      <c r="L147" s="15">
        <v>42962.400000000001</v>
      </c>
      <c r="M147" s="15">
        <v>1764.36</v>
      </c>
      <c r="N147" s="14">
        <f t="shared" si="4"/>
        <v>5.128205128205128E-2</v>
      </c>
      <c r="O147" s="1">
        <v>0.86</v>
      </c>
      <c r="P147" s="1">
        <f t="shared" si="5"/>
        <v>3.944752537407132E-2</v>
      </c>
    </row>
    <row r="148" spans="1:16" x14ac:dyDescent="0.45">
      <c r="A148" t="s">
        <v>24</v>
      </c>
      <c r="B148" t="s">
        <v>25</v>
      </c>
      <c r="C148">
        <v>2023</v>
      </c>
      <c r="D148" t="s">
        <v>27</v>
      </c>
      <c r="E148" t="s">
        <v>20</v>
      </c>
      <c r="F148">
        <v>338</v>
      </c>
      <c r="G148">
        <v>50.25</v>
      </c>
      <c r="H148">
        <v>46.28</v>
      </c>
      <c r="I148">
        <v>49</v>
      </c>
      <c r="J148" t="s">
        <v>28</v>
      </c>
      <c r="K148" s="14">
        <f>COUNTIFS(B:B,"Beta_Supplies",E:E,"Delivered") / COUNTIF(B:B,"Beta_Supplies")</f>
        <v>0.70512820512820518</v>
      </c>
      <c r="L148" s="15">
        <v>15642.64</v>
      </c>
      <c r="M148" s="15">
        <v>1341.86</v>
      </c>
      <c r="N148" s="14">
        <f t="shared" si="4"/>
        <v>0.14497041420118342</v>
      </c>
      <c r="O148" s="1">
        <v>0.24</v>
      </c>
      <c r="P148" s="1">
        <f t="shared" si="5"/>
        <v>7.9004975124378082E-2</v>
      </c>
    </row>
    <row r="149" spans="1:16" x14ac:dyDescent="0.45">
      <c r="A149" t="s">
        <v>21</v>
      </c>
      <c r="B149" t="s">
        <v>22</v>
      </c>
      <c r="C149">
        <v>2022</v>
      </c>
      <c r="D149" t="s">
        <v>15</v>
      </c>
      <c r="E149" t="s">
        <v>20</v>
      </c>
      <c r="F149">
        <v>428</v>
      </c>
      <c r="G149">
        <v>22.94</v>
      </c>
      <c r="H149">
        <v>21.52</v>
      </c>
      <c r="I149">
        <v>26</v>
      </c>
      <c r="J149" t="s">
        <v>17</v>
      </c>
      <c r="K149" s="14">
        <f>COUNTIFS(B:B,"Gamma_Co",E:E,"Delivered") / COUNTIF(B:B,"Gamma_Co")</f>
        <v>0.72027972027972031</v>
      </c>
      <c r="L149" s="15">
        <v>9210.56</v>
      </c>
      <c r="M149" s="15">
        <v>607.76</v>
      </c>
      <c r="N149" s="14">
        <f t="shared" si="4"/>
        <v>6.0747663551401869E-2</v>
      </c>
      <c r="O149" s="1">
        <v>0.86</v>
      </c>
      <c r="P149" s="1">
        <f t="shared" si="5"/>
        <v>6.1900610287707131E-2</v>
      </c>
    </row>
    <row r="150" spans="1:16" x14ac:dyDescent="0.45">
      <c r="A150" t="s">
        <v>24</v>
      </c>
      <c r="B150" t="s">
        <v>25</v>
      </c>
      <c r="C150">
        <v>2023</v>
      </c>
      <c r="D150" t="s">
        <v>26</v>
      </c>
      <c r="E150" t="s">
        <v>20</v>
      </c>
      <c r="F150">
        <v>1846</v>
      </c>
      <c r="G150">
        <v>13.72</v>
      </c>
      <c r="H150">
        <v>12.62</v>
      </c>
      <c r="I150">
        <v>216</v>
      </c>
      <c r="J150" t="s">
        <v>17</v>
      </c>
      <c r="K150" s="14">
        <f>COUNTIFS(B:B,"Beta_Supplies",E:E,"Delivered") / COUNTIF(B:B,"Beta_Supplies")</f>
        <v>0.70512820512820518</v>
      </c>
      <c r="L150" s="15">
        <v>23296.52</v>
      </c>
      <c r="M150" s="15">
        <v>2030.6</v>
      </c>
      <c r="N150" s="14">
        <f t="shared" si="4"/>
        <v>0.11700975081256772</v>
      </c>
      <c r="O150" s="1">
        <v>0.76</v>
      </c>
      <c r="P150" s="1">
        <f t="shared" si="5"/>
        <v>8.0174927113702721E-2</v>
      </c>
    </row>
    <row r="151" spans="1:16" x14ac:dyDescent="0.45">
      <c r="A151" t="s">
        <v>29</v>
      </c>
      <c r="B151" t="s">
        <v>30</v>
      </c>
      <c r="C151">
        <v>2022</v>
      </c>
      <c r="D151" t="s">
        <v>15</v>
      </c>
      <c r="E151" t="s">
        <v>20</v>
      </c>
      <c r="F151">
        <v>1563</v>
      </c>
      <c r="G151">
        <v>77.959999999999994</v>
      </c>
      <c r="H151">
        <v>70.8</v>
      </c>
      <c r="I151">
        <v>41</v>
      </c>
      <c r="J151" t="s">
        <v>17</v>
      </c>
      <c r="K151" s="14">
        <f>COUNTIFS(B:B,"Epsilon_Group",E:E,"Delivered") / COUNTIF(B:B,"Epsilon_Group")</f>
        <v>0.72289156626506024</v>
      </c>
      <c r="L151" s="15">
        <v>110660.4</v>
      </c>
      <c r="M151" s="15">
        <v>11191.08</v>
      </c>
      <c r="N151" s="14">
        <f t="shared" si="4"/>
        <v>2.6231605886116442E-2</v>
      </c>
      <c r="O151" s="1">
        <v>0.98</v>
      </c>
      <c r="P151" s="1">
        <f t="shared" si="5"/>
        <v>9.1841970241149276E-2</v>
      </c>
    </row>
    <row r="152" spans="1:16" x14ac:dyDescent="0.45">
      <c r="A152" t="s">
        <v>24</v>
      </c>
      <c r="B152" t="s">
        <v>25</v>
      </c>
      <c r="C152">
        <v>2023</v>
      </c>
      <c r="D152" t="s">
        <v>15</v>
      </c>
      <c r="E152" t="s">
        <v>20</v>
      </c>
      <c r="F152">
        <v>280</v>
      </c>
      <c r="G152">
        <v>73.069999999999993</v>
      </c>
      <c r="H152">
        <v>69.290000000000006</v>
      </c>
      <c r="I152">
        <v>30</v>
      </c>
      <c r="J152" t="s">
        <v>17</v>
      </c>
      <c r="K152" s="14">
        <f>COUNTIFS(B:B,"Beta_Supplies",E:E,"Delivered") / COUNTIF(B:B,"Beta_Supplies")</f>
        <v>0.70512820512820518</v>
      </c>
      <c r="L152" s="15">
        <v>19401.2</v>
      </c>
      <c r="M152" s="15">
        <v>1058.4000000000001</v>
      </c>
      <c r="N152" s="14">
        <f t="shared" si="4"/>
        <v>0.10714285714285714</v>
      </c>
      <c r="O152" s="1">
        <v>0.76</v>
      </c>
      <c r="P152" s="1">
        <f t="shared" si="5"/>
        <v>5.17312166415764E-2</v>
      </c>
    </row>
    <row r="153" spans="1:16" x14ac:dyDescent="0.45">
      <c r="A153" t="s">
        <v>18</v>
      </c>
      <c r="B153" t="s">
        <v>19</v>
      </c>
      <c r="C153">
        <v>2022</v>
      </c>
      <c r="D153" t="s">
        <v>27</v>
      </c>
      <c r="E153" t="s">
        <v>20</v>
      </c>
      <c r="F153">
        <v>1067</v>
      </c>
      <c r="G153">
        <v>74.47</v>
      </c>
      <c r="H153">
        <v>64.16</v>
      </c>
      <c r="I153">
        <v>155</v>
      </c>
      <c r="J153" t="s">
        <v>28</v>
      </c>
      <c r="K153" s="14">
        <f>COUNTIFS(B:B,"Delta_Logistics",E:E,"Delivered") / COUNTIF(B:B,"Delta_Logistics")</f>
        <v>0.70175438596491224</v>
      </c>
      <c r="L153" s="15">
        <v>68458.720000000001</v>
      </c>
      <c r="M153" s="15">
        <v>11000.77</v>
      </c>
      <c r="N153" s="14">
        <f t="shared" si="4"/>
        <v>0.14526710402999063</v>
      </c>
      <c r="O153" s="1">
        <v>0.39</v>
      </c>
      <c r="P153" s="1">
        <f t="shared" si="5"/>
        <v>0.13844501141399224</v>
      </c>
    </row>
    <row r="154" spans="1:16" x14ac:dyDescent="0.45">
      <c r="A154" t="s">
        <v>21</v>
      </c>
      <c r="B154" t="s">
        <v>22</v>
      </c>
      <c r="C154">
        <v>2023</v>
      </c>
      <c r="D154" t="s">
        <v>33</v>
      </c>
      <c r="E154" t="s">
        <v>32</v>
      </c>
      <c r="F154">
        <v>90</v>
      </c>
      <c r="G154">
        <v>32.380000000000003</v>
      </c>
      <c r="H154">
        <v>29.96</v>
      </c>
      <c r="I154">
        <v>7</v>
      </c>
      <c r="J154" t="s">
        <v>17</v>
      </c>
      <c r="K154" s="14">
        <f>COUNTIFS(B:B,"Gamma_Co",E:E,"Pending") / COUNTIF(B:B,"Gamma_Co")</f>
        <v>0.11188811188811189</v>
      </c>
      <c r="L154" s="15">
        <v>2696.4</v>
      </c>
      <c r="M154" s="15">
        <v>217.8</v>
      </c>
      <c r="N154" s="14">
        <f t="shared" si="4"/>
        <v>7.7777777777777779E-2</v>
      </c>
      <c r="O154" s="1">
        <v>0.86</v>
      </c>
      <c r="P154" s="1">
        <f t="shared" si="5"/>
        <v>7.4737492279184733E-2</v>
      </c>
    </row>
    <row r="155" spans="1:16" x14ac:dyDescent="0.45">
      <c r="A155" t="s">
        <v>21</v>
      </c>
      <c r="B155" t="s">
        <v>22</v>
      </c>
      <c r="C155">
        <v>2023</v>
      </c>
      <c r="D155" t="s">
        <v>27</v>
      </c>
      <c r="E155" t="s">
        <v>20</v>
      </c>
      <c r="F155">
        <v>1101</v>
      </c>
      <c r="G155">
        <v>24.28</v>
      </c>
      <c r="H155">
        <v>22.73</v>
      </c>
      <c r="I155">
        <v>59</v>
      </c>
      <c r="J155" t="s">
        <v>28</v>
      </c>
      <c r="K155" s="14">
        <f>COUNTIFS(B:B,"Gamma_Co",E:E,"Delivered") / COUNTIF(B:B,"Gamma_Co")</f>
        <v>0.72027972027972031</v>
      </c>
      <c r="L155" s="15">
        <v>25025.73</v>
      </c>
      <c r="M155" s="15">
        <v>1706.55</v>
      </c>
      <c r="N155" s="14">
        <f t="shared" si="4"/>
        <v>5.3587647593097185E-2</v>
      </c>
      <c r="O155" s="1">
        <v>0.14000000000000001</v>
      </c>
      <c r="P155" s="1">
        <f t="shared" si="5"/>
        <v>6.3838550247117001E-2</v>
      </c>
    </row>
    <row r="156" spans="1:16" x14ac:dyDescent="0.45">
      <c r="A156" t="s">
        <v>13</v>
      </c>
      <c r="B156" t="s">
        <v>14</v>
      </c>
      <c r="C156">
        <v>2022</v>
      </c>
      <c r="D156" t="s">
        <v>27</v>
      </c>
      <c r="E156" t="s">
        <v>20</v>
      </c>
      <c r="F156">
        <v>184</v>
      </c>
      <c r="G156">
        <v>11.82</v>
      </c>
      <c r="H156">
        <v>10.51</v>
      </c>
      <c r="I156">
        <v>4</v>
      </c>
      <c r="J156" t="s">
        <v>17</v>
      </c>
      <c r="K156" s="14">
        <f>COUNTIFS(B:B,"Alpha_Inc",E:E,"Delivered")/COUNTIF(B:B,"Alpha_Inc")</f>
        <v>0.75886524822695034</v>
      </c>
      <c r="L156" s="15">
        <v>1933.84</v>
      </c>
      <c r="M156" s="15">
        <v>241.04</v>
      </c>
      <c r="N156" s="14">
        <f t="shared" si="4"/>
        <v>2.1739130434782608E-2</v>
      </c>
      <c r="O156" s="1">
        <v>0.94</v>
      </c>
      <c r="P156" s="1">
        <f t="shared" si="5"/>
        <v>0.11082910321489006</v>
      </c>
    </row>
    <row r="157" spans="1:16" x14ac:dyDescent="0.45">
      <c r="A157" t="s">
        <v>29</v>
      </c>
      <c r="B157" t="s">
        <v>30</v>
      </c>
      <c r="C157">
        <v>2023</v>
      </c>
      <c r="D157" t="s">
        <v>33</v>
      </c>
      <c r="E157" t="s">
        <v>20</v>
      </c>
      <c r="F157">
        <v>250</v>
      </c>
      <c r="G157">
        <v>45.92</v>
      </c>
      <c r="H157">
        <v>41.02</v>
      </c>
      <c r="I157">
        <v>3</v>
      </c>
      <c r="J157" t="s">
        <v>17</v>
      </c>
      <c r="K157" s="14">
        <f>COUNTIFS(B:B,"Epsilon_Group",E:E,"Delivered") / COUNTIF(B:B,"Epsilon_Group")</f>
        <v>0.72289156626506024</v>
      </c>
      <c r="L157" s="15">
        <v>10255</v>
      </c>
      <c r="M157" s="15">
        <v>1225</v>
      </c>
      <c r="N157" s="14">
        <f t="shared" si="4"/>
        <v>1.2E-2</v>
      </c>
      <c r="O157" s="1">
        <v>0.98</v>
      </c>
      <c r="P157" s="1">
        <f t="shared" si="5"/>
        <v>0.1067073170731707</v>
      </c>
    </row>
    <row r="158" spans="1:16" x14ac:dyDescent="0.45">
      <c r="A158" t="s">
        <v>29</v>
      </c>
      <c r="B158" t="s">
        <v>30</v>
      </c>
      <c r="C158">
        <v>2022</v>
      </c>
      <c r="D158" t="s">
        <v>26</v>
      </c>
      <c r="E158" t="s">
        <v>16</v>
      </c>
      <c r="F158">
        <v>1913</v>
      </c>
      <c r="G158">
        <v>66.56</v>
      </c>
      <c r="H158">
        <v>61.34</v>
      </c>
      <c r="I158">
        <v>61</v>
      </c>
      <c r="J158" t="s">
        <v>17</v>
      </c>
      <c r="K158" s="14">
        <f>COUNTIFS(B:B,"Epsilon_Group",E:E,"Cancelled") / COUNTIF(B:B,"Epsilon_Group")</f>
        <v>8.4337349397590355E-2</v>
      </c>
      <c r="L158" s="15">
        <v>117343.42</v>
      </c>
      <c r="M158" s="15">
        <v>9985.86</v>
      </c>
      <c r="N158" s="14">
        <f t="shared" si="4"/>
        <v>3.1887088342916883E-2</v>
      </c>
      <c r="O158" s="1">
        <v>0.98</v>
      </c>
      <c r="P158" s="1">
        <f t="shared" si="5"/>
        <v>7.8425480769230754E-2</v>
      </c>
    </row>
    <row r="159" spans="1:16" x14ac:dyDescent="0.45">
      <c r="A159" t="s">
        <v>24</v>
      </c>
      <c r="B159" t="s">
        <v>25</v>
      </c>
      <c r="C159">
        <v>2022</v>
      </c>
      <c r="D159" t="s">
        <v>33</v>
      </c>
      <c r="E159" t="s">
        <v>20</v>
      </c>
      <c r="F159">
        <v>829</v>
      </c>
      <c r="G159">
        <v>45.98</v>
      </c>
      <c r="H159">
        <v>40.39</v>
      </c>
      <c r="I159">
        <v>105</v>
      </c>
      <c r="J159" t="s">
        <v>17</v>
      </c>
      <c r="K159" s="14">
        <f>COUNTIFS(B:B,"Beta_Supplies",E:E,"Delivered") / COUNTIF(B:B,"Beta_Supplies")</f>
        <v>0.70512820512820518</v>
      </c>
      <c r="L159" s="15">
        <v>33483.31</v>
      </c>
      <c r="M159" s="15">
        <v>4634.1099999999997</v>
      </c>
      <c r="N159" s="14">
        <f t="shared" si="4"/>
        <v>0.12665862484921592</v>
      </c>
      <c r="O159" s="1">
        <v>0.76</v>
      </c>
      <c r="P159" s="1">
        <f t="shared" si="5"/>
        <v>0.1215745976511526</v>
      </c>
    </row>
    <row r="160" spans="1:16" x14ac:dyDescent="0.45">
      <c r="A160" t="s">
        <v>18</v>
      </c>
      <c r="B160" t="s">
        <v>19</v>
      </c>
      <c r="C160">
        <v>2022</v>
      </c>
      <c r="D160" t="s">
        <v>27</v>
      </c>
      <c r="E160" t="s">
        <v>20</v>
      </c>
      <c r="F160">
        <v>979</v>
      </c>
      <c r="G160">
        <v>51.59</v>
      </c>
      <c r="H160">
        <v>49.69</v>
      </c>
      <c r="I160">
        <v>148</v>
      </c>
      <c r="J160" t="s">
        <v>17</v>
      </c>
      <c r="K160" s="14">
        <f>COUNTIFS(B:B,"Delta_Logistics",E:E,"Delivered") / COUNTIF(B:B,"Delta_Logistics")</f>
        <v>0.70175438596491224</v>
      </c>
      <c r="L160" s="15">
        <v>48646.51</v>
      </c>
      <c r="M160" s="15">
        <v>1860.1</v>
      </c>
      <c r="N160" s="14">
        <f t="shared" si="4"/>
        <v>0.15117466802860061</v>
      </c>
      <c r="O160" s="1">
        <v>0.61</v>
      </c>
      <c r="P160" s="1">
        <f t="shared" si="5"/>
        <v>3.6828842798992158E-2</v>
      </c>
    </row>
    <row r="161" spans="1:16" x14ac:dyDescent="0.45">
      <c r="A161" t="s">
        <v>29</v>
      </c>
      <c r="B161" t="s">
        <v>30</v>
      </c>
      <c r="C161">
        <v>2023</v>
      </c>
      <c r="D161" t="s">
        <v>33</v>
      </c>
      <c r="E161" t="s">
        <v>31</v>
      </c>
      <c r="F161">
        <v>1106</v>
      </c>
      <c r="G161">
        <v>97.77</v>
      </c>
      <c r="H161">
        <v>90.45</v>
      </c>
      <c r="I161">
        <v>31</v>
      </c>
      <c r="J161" t="s">
        <v>17</v>
      </c>
      <c r="K161" s="14">
        <f>COUNTIFS(B:B,"Epsilon_Group",E:E,"Partially Delivered") / COUNTIF(B:B,"Epsilon_Group")</f>
        <v>8.4337349397590355E-2</v>
      </c>
      <c r="L161" s="15">
        <v>100037.7</v>
      </c>
      <c r="M161" s="15">
        <v>8095.92</v>
      </c>
      <c r="N161" s="14">
        <f t="shared" si="4"/>
        <v>2.8028933092224231E-2</v>
      </c>
      <c r="O161" s="1">
        <v>0.98</v>
      </c>
      <c r="P161" s="1">
        <f t="shared" si="5"/>
        <v>7.4869591899355561E-2</v>
      </c>
    </row>
    <row r="162" spans="1:16" x14ac:dyDescent="0.45">
      <c r="A162" t="s">
        <v>18</v>
      </c>
      <c r="B162" t="s">
        <v>19</v>
      </c>
      <c r="C162">
        <v>2022</v>
      </c>
      <c r="D162" t="s">
        <v>15</v>
      </c>
      <c r="E162" t="s">
        <v>32</v>
      </c>
      <c r="F162">
        <v>1121</v>
      </c>
      <c r="G162">
        <v>42.38</v>
      </c>
      <c r="H162">
        <v>38.340000000000003</v>
      </c>
      <c r="I162">
        <v>152</v>
      </c>
      <c r="J162" t="s">
        <v>17</v>
      </c>
      <c r="K162" s="14">
        <f>COUNTIFS(B:B,"Delta_Logistics",E:E,"Pending") / COUNTIF(B:B,"Delta_Logistics")</f>
        <v>9.9415204678362568E-2</v>
      </c>
      <c r="L162" s="15">
        <v>42979.14</v>
      </c>
      <c r="M162" s="15">
        <v>4528.84</v>
      </c>
      <c r="N162" s="14">
        <f t="shared" si="4"/>
        <v>0.13559322033898305</v>
      </c>
      <c r="O162" s="1">
        <v>0.61</v>
      </c>
      <c r="P162" s="1">
        <f t="shared" si="5"/>
        <v>9.5327984898537013E-2</v>
      </c>
    </row>
    <row r="163" spans="1:16" x14ac:dyDescent="0.45">
      <c r="A163" t="s">
        <v>13</v>
      </c>
      <c r="B163" t="s">
        <v>14</v>
      </c>
      <c r="C163">
        <v>2023</v>
      </c>
      <c r="D163" t="s">
        <v>15</v>
      </c>
      <c r="E163" t="s">
        <v>20</v>
      </c>
      <c r="F163">
        <v>552</v>
      </c>
      <c r="G163">
        <v>60.48</v>
      </c>
      <c r="H163">
        <v>56.78</v>
      </c>
      <c r="I163">
        <v>10</v>
      </c>
      <c r="J163" t="s">
        <v>17</v>
      </c>
      <c r="K163" s="14">
        <f>COUNTIFS(B:B,"Alpha_Inc",E:E,"Delivered")/COUNTIF(B:B,"Alpha_Inc")</f>
        <v>0.75886524822695034</v>
      </c>
      <c r="L163" s="15">
        <v>31342.560000000001</v>
      </c>
      <c r="M163" s="15">
        <v>2042.4</v>
      </c>
      <c r="N163" s="14">
        <f t="shared" si="4"/>
        <v>1.8115942028985508E-2</v>
      </c>
      <c r="O163" s="1">
        <v>0.94</v>
      </c>
      <c r="P163" s="1">
        <f t="shared" si="5"/>
        <v>6.1177248677248608E-2</v>
      </c>
    </row>
    <row r="164" spans="1:16" x14ac:dyDescent="0.45">
      <c r="A164" t="s">
        <v>21</v>
      </c>
      <c r="B164" t="s">
        <v>22</v>
      </c>
      <c r="C164">
        <v>2022</v>
      </c>
      <c r="D164" t="s">
        <v>26</v>
      </c>
      <c r="E164" t="s">
        <v>20</v>
      </c>
      <c r="F164">
        <v>456</v>
      </c>
      <c r="G164">
        <v>80.53</v>
      </c>
      <c r="H164">
        <v>77.86</v>
      </c>
      <c r="I164">
        <v>26</v>
      </c>
      <c r="J164" t="s">
        <v>17</v>
      </c>
      <c r="K164" s="14">
        <f>COUNTIFS(B:B,"Gamma_Co",E:E,"Delivered") / COUNTIF(B:B,"Gamma_Co")</f>
        <v>0.72027972027972031</v>
      </c>
      <c r="L164" s="15">
        <v>35504.160000000003</v>
      </c>
      <c r="M164" s="15">
        <v>1217.52</v>
      </c>
      <c r="N164" s="14">
        <f t="shared" si="4"/>
        <v>5.701754385964912E-2</v>
      </c>
      <c r="O164" s="1">
        <v>0.86</v>
      </c>
      <c r="P164" s="1">
        <f t="shared" si="5"/>
        <v>3.3155345833850762E-2</v>
      </c>
    </row>
    <row r="165" spans="1:16" x14ac:dyDescent="0.45">
      <c r="A165" t="s">
        <v>18</v>
      </c>
      <c r="B165" t="s">
        <v>19</v>
      </c>
      <c r="C165">
        <v>2022</v>
      </c>
      <c r="D165" t="s">
        <v>26</v>
      </c>
      <c r="E165" t="s">
        <v>20</v>
      </c>
      <c r="F165">
        <v>1647</v>
      </c>
      <c r="G165">
        <v>47.52</v>
      </c>
      <c r="H165">
        <v>44.92</v>
      </c>
      <c r="I165">
        <v>155</v>
      </c>
      <c r="J165" t="s">
        <v>17</v>
      </c>
      <c r="K165" s="14">
        <f>COUNTIFS(B:B,"Delta_Logistics",E:E,"Delivered") / COUNTIF(B:B,"Delta_Logistics")</f>
        <v>0.70175438596491224</v>
      </c>
      <c r="L165" s="15">
        <v>73983.240000000005</v>
      </c>
      <c r="M165" s="15">
        <v>4282.2</v>
      </c>
      <c r="N165" s="14">
        <f t="shared" si="4"/>
        <v>9.4110503946569515E-2</v>
      </c>
      <c r="O165" s="1">
        <v>0.61</v>
      </c>
      <c r="P165" s="1">
        <f t="shared" si="5"/>
        <v>5.4713804713804742E-2</v>
      </c>
    </row>
    <row r="166" spans="1:16" x14ac:dyDescent="0.45">
      <c r="A166" t="s">
        <v>29</v>
      </c>
      <c r="B166" t="s">
        <v>30</v>
      </c>
      <c r="C166">
        <v>2023</v>
      </c>
      <c r="D166" t="s">
        <v>33</v>
      </c>
      <c r="E166" t="s">
        <v>32</v>
      </c>
      <c r="F166">
        <v>1801</v>
      </c>
      <c r="G166">
        <v>71.27</v>
      </c>
      <c r="H166">
        <v>61.24</v>
      </c>
      <c r="I166">
        <v>43</v>
      </c>
      <c r="J166" t="s">
        <v>17</v>
      </c>
      <c r="K166" s="14">
        <f>COUNTIFS(B:B,"Epsilon_Group",E:E,"Pending") / COUNTIF(B:B,"Epsilon_Group")</f>
        <v>0.10843373493975904</v>
      </c>
      <c r="L166" s="15">
        <v>110293.24</v>
      </c>
      <c r="M166" s="15">
        <v>18064.03</v>
      </c>
      <c r="N166" s="14">
        <f t="shared" si="4"/>
        <v>2.3875624652970572E-2</v>
      </c>
      <c r="O166" s="1">
        <v>0.98</v>
      </c>
      <c r="P166" s="1">
        <f t="shared" si="5"/>
        <v>0.14073242598568816</v>
      </c>
    </row>
    <row r="167" spans="1:16" x14ac:dyDescent="0.45">
      <c r="A167" t="s">
        <v>21</v>
      </c>
      <c r="B167" t="s">
        <v>22</v>
      </c>
      <c r="C167">
        <v>2022</v>
      </c>
      <c r="D167" t="s">
        <v>33</v>
      </c>
      <c r="E167" t="s">
        <v>20</v>
      </c>
      <c r="F167">
        <v>854</v>
      </c>
      <c r="G167">
        <v>90.24</v>
      </c>
      <c r="H167">
        <v>85.53</v>
      </c>
      <c r="I167">
        <v>55</v>
      </c>
      <c r="J167" t="s">
        <v>17</v>
      </c>
      <c r="K167" s="14">
        <f>COUNTIFS(B:B,"Gamma_Co",E:E,"Delivered") / COUNTIF(B:B,"Gamma_Co")</f>
        <v>0.72027972027972031</v>
      </c>
      <c r="L167" s="15">
        <v>73042.62</v>
      </c>
      <c r="M167" s="15">
        <v>4022.34</v>
      </c>
      <c r="N167" s="14">
        <f t="shared" si="4"/>
        <v>6.4402810304449651E-2</v>
      </c>
      <c r="O167" s="1">
        <v>0.86</v>
      </c>
      <c r="P167" s="1">
        <f t="shared" si="5"/>
        <v>5.2194148936170144E-2</v>
      </c>
    </row>
    <row r="168" spans="1:16" x14ac:dyDescent="0.45">
      <c r="A168" t="s">
        <v>18</v>
      </c>
      <c r="B168" t="s">
        <v>19</v>
      </c>
      <c r="C168">
        <v>2023</v>
      </c>
      <c r="D168" t="s">
        <v>33</v>
      </c>
      <c r="E168" t="s">
        <v>20</v>
      </c>
      <c r="F168">
        <v>148</v>
      </c>
      <c r="G168">
        <v>103.57</v>
      </c>
      <c r="H168">
        <v>98.62</v>
      </c>
      <c r="I168">
        <v>23</v>
      </c>
      <c r="J168" t="s">
        <v>28</v>
      </c>
      <c r="K168" s="14">
        <f>COUNTIFS(B:B,"Delta_Logistics",E:E,"Delivered") / COUNTIF(B:B,"Delta_Logistics")</f>
        <v>0.70175438596491224</v>
      </c>
      <c r="L168" s="15">
        <v>14595.76</v>
      </c>
      <c r="M168" s="15">
        <v>732.6</v>
      </c>
      <c r="N168" s="14">
        <f t="shared" si="4"/>
        <v>0.1554054054054054</v>
      </c>
      <c r="O168" s="1">
        <v>0.39</v>
      </c>
      <c r="P168" s="1">
        <f t="shared" si="5"/>
        <v>4.7793762672588481E-2</v>
      </c>
    </row>
    <row r="169" spans="1:16" x14ac:dyDescent="0.45">
      <c r="A169" t="s">
        <v>18</v>
      </c>
      <c r="B169" t="s">
        <v>19</v>
      </c>
      <c r="C169">
        <v>2022</v>
      </c>
      <c r="D169" t="s">
        <v>23</v>
      </c>
      <c r="E169" t="s">
        <v>20</v>
      </c>
      <c r="F169">
        <v>733</v>
      </c>
      <c r="G169">
        <v>23.59</v>
      </c>
      <c r="H169">
        <v>22.85</v>
      </c>
      <c r="I169">
        <v>92</v>
      </c>
      <c r="J169" t="s">
        <v>17</v>
      </c>
      <c r="K169" s="14">
        <f>COUNTIFS(B:B,"Delta_Logistics",E:E,"Delivered") / COUNTIF(B:B,"Delta_Logistics")</f>
        <v>0.70175438596491224</v>
      </c>
      <c r="L169" s="15">
        <v>16749.05</v>
      </c>
      <c r="M169" s="15">
        <v>542.41999999999996</v>
      </c>
      <c r="N169" s="14">
        <f t="shared" si="4"/>
        <v>0.12551159618008187</v>
      </c>
      <c r="O169" s="1">
        <v>0.61</v>
      </c>
      <c r="P169" s="1">
        <f t="shared" si="5"/>
        <v>3.1369224247562458E-2</v>
      </c>
    </row>
    <row r="170" spans="1:16" x14ac:dyDescent="0.45">
      <c r="A170" t="s">
        <v>24</v>
      </c>
      <c r="B170" t="s">
        <v>25</v>
      </c>
      <c r="C170">
        <v>2023</v>
      </c>
      <c r="D170" t="s">
        <v>27</v>
      </c>
      <c r="E170" t="s">
        <v>20</v>
      </c>
      <c r="F170">
        <v>1945</v>
      </c>
      <c r="G170">
        <v>103.2</v>
      </c>
      <c r="H170">
        <v>88.56</v>
      </c>
      <c r="I170">
        <v>105</v>
      </c>
      <c r="J170" t="s">
        <v>17</v>
      </c>
      <c r="K170" s="14">
        <f>COUNTIFS(B:B,"Beta_Supplies",E:E,"Delivered") / COUNTIF(B:B,"Beta_Supplies")</f>
        <v>0.70512820512820518</v>
      </c>
      <c r="L170" s="15">
        <v>172249.2</v>
      </c>
      <c r="M170" s="15">
        <v>28474.799999999999</v>
      </c>
      <c r="N170" s="14">
        <f t="shared" si="4"/>
        <v>5.3984575835475578E-2</v>
      </c>
      <c r="O170" s="1">
        <v>0.76</v>
      </c>
      <c r="P170" s="1">
        <f t="shared" si="5"/>
        <v>0.14186046511627906</v>
      </c>
    </row>
    <row r="171" spans="1:16" x14ac:dyDescent="0.45">
      <c r="A171" t="s">
        <v>21</v>
      </c>
      <c r="B171" t="s">
        <v>22</v>
      </c>
      <c r="C171">
        <v>2022</v>
      </c>
      <c r="D171" t="s">
        <v>27</v>
      </c>
      <c r="E171" t="s">
        <v>20</v>
      </c>
      <c r="F171">
        <v>775</v>
      </c>
      <c r="G171">
        <v>57</v>
      </c>
      <c r="H171">
        <v>49.14</v>
      </c>
      <c r="I171">
        <v>48</v>
      </c>
      <c r="J171" t="s">
        <v>17</v>
      </c>
      <c r="K171" s="14">
        <f>COUNTIFS(B:B,"Gamma_Co",E:E,"Delivered") / COUNTIF(B:B,"Gamma_Co")</f>
        <v>0.72027972027972031</v>
      </c>
      <c r="L171" s="15">
        <v>38083.5</v>
      </c>
      <c r="M171" s="15">
        <v>6091.5</v>
      </c>
      <c r="N171" s="14">
        <f t="shared" si="4"/>
        <v>6.1935483870967742E-2</v>
      </c>
      <c r="O171" s="1">
        <v>0.86</v>
      </c>
      <c r="P171" s="1">
        <f t="shared" si="5"/>
        <v>0.13789473684210526</v>
      </c>
    </row>
    <row r="172" spans="1:16" x14ac:dyDescent="0.45">
      <c r="A172" t="s">
        <v>18</v>
      </c>
      <c r="B172" t="s">
        <v>19</v>
      </c>
      <c r="C172">
        <v>2023</v>
      </c>
      <c r="D172" t="s">
        <v>26</v>
      </c>
      <c r="E172" t="s">
        <v>20</v>
      </c>
      <c r="F172">
        <v>1620</v>
      </c>
      <c r="G172">
        <v>36.729999999999997</v>
      </c>
      <c r="H172">
        <v>33.450000000000003</v>
      </c>
      <c r="I172">
        <v>235</v>
      </c>
      <c r="J172" t="s">
        <v>28</v>
      </c>
      <c r="K172" s="14">
        <f>COUNTIFS(B:B,"Delta_Logistics",E:E,"Delivered") / COUNTIF(B:B,"Delta_Logistics")</f>
        <v>0.70175438596491224</v>
      </c>
      <c r="L172" s="15">
        <v>54189</v>
      </c>
      <c r="M172" s="15">
        <v>5313.6</v>
      </c>
      <c r="N172" s="14">
        <f t="shared" si="4"/>
        <v>0.14506172839506173</v>
      </c>
      <c r="O172" s="1">
        <v>0.39</v>
      </c>
      <c r="P172" s="1">
        <f t="shared" si="5"/>
        <v>8.9300299482711523E-2</v>
      </c>
    </row>
    <row r="173" spans="1:16" x14ac:dyDescent="0.45">
      <c r="A173" t="s">
        <v>24</v>
      </c>
      <c r="B173" t="s">
        <v>25</v>
      </c>
      <c r="C173">
        <v>2023</v>
      </c>
      <c r="D173" t="s">
        <v>15</v>
      </c>
      <c r="E173" t="s">
        <v>20</v>
      </c>
      <c r="F173">
        <v>1010</v>
      </c>
      <c r="G173">
        <v>55.68</v>
      </c>
      <c r="H173">
        <v>50.86</v>
      </c>
      <c r="I173">
        <v>105</v>
      </c>
      <c r="J173" t="s">
        <v>17</v>
      </c>
      <c r="K173" s="14">
        <f>COUNTIFS(B:B,"Beta_Supplies",E:E,"Delivered") / COUNTIF(B:B,"Beta_Supplies")</f>
        <v>0.70512820512820518</v>
      </c>
      <c r="L173" s="15">
        <v>51368.6</v>
      </c>
      <c r="M173" s="15">
        <v>4868.2</v>
      </c>
      <c r="N173" s="14">
        <f t="shared" si="4"/>
        <v>0.10396039603960396</v>
      </c>
      <c r="O173" s="1">
        <v>0.76</v>
      </c>
      <c r="P173" s="1">
        <f t="shared" si="5"/>
        <v>8.6566091954022997E-2</v>
      </c>
    </row>
    <row r="174" spans="1:16" x14ac:dyDescent="0.45">
      <c r="A174" t="s">
        <v>29</v>
      </c>
      <c r="B174" t="s">
        <v>30</v>
      </c>
      <c r="C174">
        <v>2023</v>
      </c>
      <c r="D174" t="s">
        <v>15</v>
      </c>
      <c r="E174" t="s">
        <v>20</v>
      </c>
      <c r="F174">
        <v>1812</v>
      </c>
      <c r="G174">
        <v>108.02</v>
      </c>
      <c r="H174">
        <v>101.02</v>
      </c>
      <c r="I174">
        <v>51</v>
      </c>
      <c r="J174" t="s">
        <v>17</v>
      </c>
      <c r="K174" s="14">
        <f>COUNTIFS(B:B,"Epsilon_Group",E:E,"Delivered") / COUNTIF(B:B,"Epsilon_Group")</f>
        <v>0.72289156626506024</v>
      </c>
      <c r="L174" s="15">
        <v>183048.24</v>
      </c>
      <c r="M174" s="15">
        <v>12684</v>
      </c>
      <c r="N174" s="14">
        <f t="shared" si="4"/>
        <v>2.8145695364238412E-2</v>
      </c>
      <c r="O174" s="1">
        <v>0.98</v>
      </c>
      <c r="P174" s="1">
        <f t="shared" si="5"/>
        <v>6.4802814293649327E-2</v>
      </c>
    </row>
    <row r="175" spans="1:16" x14ac:dyDescent="0.45">
      <c r="A175" t="s">
        <v>18</v>
      </c>
      <c r="B175" t="s">
        <v>19</v>
      </c>
      <c r="C175">
        <v>2022</v>
      </c>
      <c r="D175" t="s">
        <v>15</v>
      </c>
      <c r="E175" t="s">
        <v>20</v>
      </c>
      <c r="F175">
        <v>662</v>
      </c>
      <c r="G175">
        <v>55.97</v>
      </c>
      <c r="H175">
        <v>50</v>
      </c>
      <c r="I175">
        <v>100</v>
      </c>
      <c r="J175" t="s">
        <v>17</v>
      </c>
      <c r="K175" s="14">
        <f>COUNTIFS(B:B,"Delta_Logistics",E:E,"Delivered") / COUNTIF(B:B,"Delta_Logistics")</f>
        <v>0.70175438596491224</v>
      </c>
      <c r="L175" s="15">
        <v>33100</v>
      </c>
      <c r="M175" s="15">
        <v>3952.14</v>
      </c>
      <c r="N175" s="14">
        <f t="shared" si="4"/>
        <v>0.15105740181268881</v>
      </c>
      <c r="O175" s="1">
        <v>0.61</v>
      </c>
      <c r="P175" s="1">
        <f t="shared" si="5"/>
        <v>0.10666428443809181</v>
      </c>
    </row>
    <row r="176" spans="1:16" x14ac:dyDescent="0.45">
      <c r="A176" t="s">
        <v>24</v>
      </c>
      <c r="B176" t="s">
        <v>25</v>
      </c>
      <c r="C176">
        <v>2022</v>
      </c>
      <c r="D176" t="s">
        <v>15</v>
      </c>
      <c r="E176" t="s">
        <v>32</v>
      </c>
      <c r="F176">
        <v>1535</v>
      </c>
      <c r="G176">
        <v>40.58</v>
      </c>
      <c r="H176">
        <v>38.71</v>
      </c>
      <c r="I176">
        <v>165</v>
      </c>
      <c r="J176" t="s">
        <v>17</v>
      </c>
      <c r="K176" s="14">
        <f>COUNTIFS(B:B,"Beta_Supplies",E:E,"Pending") / COUNTIF(B:B,"Beta_Supplies")</f>
        <v>0.12179487179487179</v>
      </c>
      <c r="L176" s="15">
        <v>59419.85</v>
      </c>
      <c r="M176" s="15">
        <v>2870.45</v>
      </c>
      <c r="N176" s="14">
        <f t="shared" si="4"/>
        <v>0.10749185667752444</v>
      </c>
      <c r="O176" s="1">
        <v>0.76</v>
      </c>
      <c r="P176" s="1">
        <f t="shared" si="5"/>
        <v>4.6081813701330646E-2</v>
      </c>
    </row>
    <row r="177" spans="1:16" x14ac:dyDescent="0.45">
      <c r="A177" t="s">
        <v>24</v>
      </c>
      <c r="B177" t="s">
        <v>25</v>
      </c>
      <c r="C177">
        <v>2023</v>
      </c>
      <c r="D177" t="s">
        <v>27</v>
      </c>
      <c r="E177" t="s">
        <v>20</v>
      </c>
      <c r="F177">
        <v>692</v>
      </c>
      <c r="G177">
        <v>71.03</v>
      </c>
      <c r="H177">
        <v>67.739999999999995</v>
      </c>
      <c r="I177">
        <v>70</v>
      </c>
      <c r="J177" t="s">
        <v>17</v>
      </c>
      <c r="K177" s="14">
        <f>COUNTIFS(B:B,"Beta_Supplies",E:E,"Delivered") / COUNTIF(B:B,"Beta_Supplies")</f>
        <v>0.70512820512820518</v>
      </c>
      <c r="L177" s="15">
        <v>46876.08</v>
      </c>
      <c r="M177" s="15">
        <v>2276.6799999999998</v>
      </c>
      <c r="N177" s="14">
        <f t="shared" si="4"/>
        <v>0.10115606936416185</v>
      </c>
      <c r="O177" s="1">
        <v>0.76</v>
      </c>
      <c r="P177" s="1">
        <f t="shared" si="5"/>
        <v>4.6318456990004309E-2</v>
      </c>
    </row>
    <row r="178" spans="1:16" x14ac:dyDescent="0.45">
      <c r="A178" t="s">
        <v>21</v>
      </c>
      <c r="B178" t="s">
        <v>22</v>
      </c>
      <c r="C178">
        <v>2022</v>
      </c>
      <c r="D178" t="s">
        <v>23</v>
      </c>
      <c r="E178" t="s">
        <v>20</v>
      </c>
      <c r="F178">
        <v>1842</v>
      </c>
      <c r="G178">
        <v>32.4</v>
      </c>
      <c r="H178">
        <v>28.08</v>
      </c>
      <c r="I178">
        <v>96</v>
      </c>
      <c r="J178" t="s">
        <v>17</v>
      </c>
      <c r="K178" s="14">
        <f>COUNTIFS(B:B,"Gamma_Co",E:E,"Delivered") / COUNTIF(B:B,"Gamma_Co")</f>
        <v>0.72027972027972031</v>
      </c>
      <c r="L178" s="15">
        <v>51723.360000000001</v>
      </c>
      <c r="M178" s="15">
        <v>7957.44</v>
      </c>
      <c r="N178" s="14">
        <f t="shared" si="4"/>
        <v>5.2117263843648211E-2</v>
      </c>
      <c r="O178" s="1">
        <v>0.86</v>
      </c>
      <c r="P178" s="1">
        <f t="shared" si="5"/>
        <v>0.13333333333333336</v>
      </c>
    </row>
    <row r="179" spans="1:16" x14ac:dyDescent="0.45">
      <c r="A179" t="s">
        <v>24</v>
      </c>
      <c r="B179" t="s">
        <v>25</v>
      </c>
      <c r="C179">
        <v>2023</v>
      </c>
      <c r="D179" t="s">
        <v>15</v>
      </c>
      <c r="E179" t="s">
        <v>16</v>
      </c>
      <c r="F179">
        <v>1078</v>
      </c>
      <c r="G179">
        <v>18.34</v>
      </c>
      <c r="H179">
        <v>17.41</v>
      </c>
      <c r="I179">
        <v>102</v>
      </c>
      <c r="J179" t="s">
        <v>17</v>
      </c>
      <c r="K179" s="14">
        <f>COUNTIFS(B:B,"Beta_Supplies",E:E,"Cancelled")/COUNTIF(B:B,"Beta_Supplies")</f>
        <v>8.9743589743589744E-2</v>
      </c>
      <c r="L179" s="15">
        <v>18767.98</v>
      </c>
      <c r="M179" s="15">
        <v>1002.54</v>
      </c>
      <c r="N179" s="14">
        <f t="shared" si="4"/>
        <v>9.4619666048237475E-2</v>
      </c>
      <c r="O179" s="1">
        <v>0.76</v>
      </c>
      <c r="P179" s="1">
        <f t="shared" si="5"/>
        <v>5.0708833151581229E-2</v>
      </c>
    </row>
    <row r="180" spans="1:16" x14ac:dyDescent="0.45">
      <c r="A180" t="s">
        <v>18</v>
      </c>
      <c r="B180" t="s">
        <v>19</v>
      </c>
      <c r="C180">
        <v>2023</v>
      </c>
      <c r="D180" t="s">
        <v>26</v>
      </c>
      <c r="E180" t="s">
        <v>20</v>
      </c>
      <c r="F180">
        <v>1291</v>
      </c>
      <c r="G180">
        <v>23.44</v>
      </c>
      <c r="H180">
        <v>22.23</v>
      </c>
      <c r="I180">
        <v>155</v>
      </c>
      <c r="J180" t="s">
        <v>17</v>
      </c>
      <c r="K180" s="14">
        <f>COUNTIFS(B:B,"Delta_Logistics",E:E,"Delivered") / COUNTIF(B:B,"Delta_Logistics")</f>
        <v>0.70175438596491224</v>
      </c>
      <c r="L180" s="15">
        <v>28698.93</v>
      </c>
      <c r="M180" s="15">
        <v>1562.11</v>
      </c>
      <c r="N180" s="14">
        <f t="shared" si="4"/>
        <v>0.12006196746707978</v>
      </c>
      <c r="O180" s="1">
        <v>0.61</v>
      </c>
      <c r="P180" s="1">
        <f t="shared" si="5"/>
        <v>5.1621160409556346E-2</v>
      </c>
    </row>
    <row r="181" spans="1:16" x14ac:dyDescent="0.45">
      <c r="A181" t="s">
        <v>13</v>
      </c>
      <c r="B181" t="s">
        <v>14</v>
      </c>
      <c r="C181">
        <v>2022</v>
      </c>
      <c r="D181" t="s">
        <v>33</v>
      </c>
      <c r="E181" t="s">
        <v>20</v>
      </c>
      <c r="F181">
        <v>552</v>
      </c>
      <c r="G181">
        <v>21.52</v>
      </c>
      <c r="H181">
        <v>18.79</v>
      </c>
      <c r="I181">
        <v>13</v>
      </c>
      <c r="J181" t="s">
        <v>17</v>
      </c>
      <c r="K181" s="14">
        <f>COUNTIFS(B:B,"Alpha_Inc",E:E,"Delivered")/COUNTIF(B:B,"Alpha_Inc")</f>
        <v>0.75886524822695034</v>
      </c>
      <c r="L181" s="15">
        <v>10372.08</v>
      </c>
      <c r="M181" s="15">
        <v>1506.96</v>
      </c>
      <c r="N181" s="14">
        <f t="shared" si="4"/>
        <v>2.355072463768116E-2</v>
      </c>
      <c r="O181" s="1">
        <v>0.94</v>
      </c>
      <c r="P181" s="1">
        <f t="shared" si="5"/>
        <v>0.12685873605947959</v>
      </c>
    </row>
    <row r="182" spans="1:16" x14ac:dyDescent="0.45">
      <c r="A182" t="s">
        <v>29</v>
      </c>
      <c r="B182" t="s">
        <v>30</v>
      </c>
      <c r="C182">
        <v>2023</v>
      </c>
      <c r="D182" t="s">
        <v>33</v>
      </c>
      <c r="E182" t="s">
        <v>20</v>
      </c>
      <c r="F182">
        <v>816</v>
      </c>
      <c r="G182">
        <v>26.04</v>
      </c>
      <c r="H182">
        <v>25.61</v>
      </c>
      <c r="I182">
        <v>28</v>
      </c>
      <c r="J182" t="s">
        <v>17</v>
      </c>
      <c r="K182" s="14">
        <f>COUNTIFS(B:B,"Epsilon_Group",E:E,"Delivered") / COUNTIF(B:B,"Epsilon_Group")</f>
        <v>0.72289156626506024</v>
      </c>
      <c r="L182" s="15">
        <v>20897.759999999998</v>
      </c>
      <c r="M182" s="15">
        <v>350.88</v>
      </c>
      <c r="N182" s="14">
        <f t="shared" si="4"/>
        <v>3.4313725490196081E-2</v>
      </c>
      <c r="O182" s="1">
        <v>0.98</v>
      </c>
      <c r="P182" s="1">
        <f t="shared" si="5"/>
        <v>1.6513056835637471E-2</v>
      </c>
    </row>
    <row r="183" spans="1:16" x14ac:dyDescent="0.45">
      <c r="A183" t="s">
        <v>18</v>
      </c>
      <c r="B183" t="s">
        <v>19</v>
      </c>
      <c r="C183">
        <v>2022</v>
      </c>
      <c r="D183" t="s">
        <v>26</v>
      </c>
      <c r="E183" t="s">
        <v>20</v>
      </c>
      <c r="F183">
        <v>447</v>
      </c>
      <c r="G183">
        <v>23.62</v>
      </c>
      <c r="H183">
        <v>21.81</v>
      </c>
      <c r="I183">
        <v>50</v>
      </c>
      <c r="J183" t="s">
        <v>17</v>
      </c>
      <c r="K183" s="14">
        <f>COUNTIFS(B:B,"Delta_Logistics",E:E,"Delivered") / COUNTIF(B:B,"Delta_Logistics")</f>
        <v>0.70175438596491224</v>
      </c>
      <c r="L183" s="15">
        <v>9749.07</v>
      </c>
      <c r="M183" s="15">
        <v>809.07</v>
      </c>
      <c r="N183" s="14">
        <f t="shared" si="4"/>
        <v>0.11185682326621924</v>
      </c>
      <c r="O183" s="1">
        <v>0.61</v>
      </c>
      <c r="P183" s="1">
        <f t="shared" si="5"/>
        <v>7.6629974597798564E-2</v>
      </c>
    </row>
    <row r="184" spans="1:16" x14ac:dyDescent="0.45">
      <c r="A184" t="s">
        <v>18</v>
      </c>
      <c r="B184" t="s">
        <v>19</v>
      </c>
      <c r="C184">
        <v>2023</v>
      </c>
      <c r="D184" t="s">
        <v>26</v>
      </c>
      <c r="E184" t="s">
        <v>31</v>
      </c>
      <c r="F184">
        <v>920</v>
      </c>
      <c r="G184">
        <v>73.09</v>
      </c>
      <c r="H184">
        <v>70.14</v>
      </c>
      <c r="I184">
        <v>155</v>
      </c>
      <c r="J184" t="s">
        <v>17</v>
      </c>
      <c r="K184" s="14">
        <f>COUNTIFS(B:B,"Delta_Logistics",E:E,"Partially Delivered") / COUNTIF(B:B,"Delta_Logistics")</f>
        <v>0.10526315789473684</v>
      </c>
      <c r="L184" s="15">
        <v>64528.800000000003</v>
      </c>
      <c r="M184" s="15">
        <v>2714</v>
      </c>
      <c r="N184" s="14">
        <f t="shared" si="4"/>
        <v>0.16847826086956522</v>
      </c>
      <c r="O184" s="1">
        <v>0.61</v>
      </c>
      <c r="P184" s="1">
        <f t="shared" si="5"/>
        <v>4.0361198522369718E-2</v>
      </c>
    </row>
    <row r="185" spans="1:16" x14ac:dyDescent="0.45">
      <c r="A185" t="s">
        <v>29</v>
      </c>
      <c r="B185" t="s">
        <v>30</v>
      </c>
      <c r="C185">
        <v>2022</v>
      </c>
      <c r="D185" t="s">
        <v>26</v>
      </c>
      <c r="E185" t="s">
        <v>31</v>
      </c>
      <c r="F185">
        <v>844</v>
      </c>
      <c r="G185">
        <v>26.37</v>
      </c>
      <c r="H185">
        <v>25.08</v>
      </c>
      <c r="I185">
        <v>38</v>
      </c>
      <c r="J185" t="s">
        <v>17</v>
      </c>
      <c r="K185" s="14">
        <f>COUNTIFS(B:B,"Epsilon_Group",E:E,"Partially Delivered") / COUNTIF(B:B,"Epsilon_Group")</f>
        <v>8.4337349397590355E-2</v>
      </c>
      <c r="L185" s="15">
        <v>21167.52</v>
      </c>
      <c r="M185" s="15">
        <v>1088.76</v>
      </c>
      <c r="N185" s="14">
        <f t="shared" si="4"/>
        <v>4.5023696682464455E-2</v>
      </c>
      <c r="O185" s="1">
        <v>0.98</v>
      </c>
      <c r="P185" s="1">
        <f t="shared" si="5"/>
        <v>4.8919226393629223E-2</v>
      </c>
    </row>
    <row r="186" spans="1:16" x14ac:dyDescent="0.45">
      <c r="A186" t="s">
        <v>29</v>
      </c>
      <c r="B186" t="s">
        <v>30</v>
      </c>
      <c r="C186">
        <v>2022</v>
      </c>
      <c r="D186" t="s">
        <v>23</v>
      </c>
      <c r="E186" t="s">
        <v>20</v>
      </c>
      <c r="F186">
        <v>442</v>
      </c>
      <c r="G186">
        <v>41.73</v>
      </c>
      <c r="H186">
        <v>36.450000000000003</v>
      </c>
      <c r="I186">
        <v>15</v>
      </c>
      <c r="J186" t="s">
        <v>17</v>
      </c>
      <c r="K186" s="14">
        <f>COUNTIFS(B:B,"Epsilon_Group",E:E,"Delivered") / COUNTIF(B:B,"Epsilon_Group")</f>
        <v>0.72289156626506024</v>
      </c>
      <c r="L186" s="15">
        <v>16110.9</v>
      </c>
      <c r="M186" s="15">
        <v>2333.7600000000002</v>
      </c>
      <c r="N186" s="14">
        <f t="shared" si="4"/>
        <v>3.3936651583710405E-2</v>
      </c>
      <c r="O186" s="1">
        <v>0.98</v>
      </c>
      <c r="P186" s="1">
        <f t="shared" si="5"/>
        <v>0.12652767792954694</v>
      </c>
    </row>
    <row r="187" spans="1:16" x14ac:dyDescent="0.45">
      <c r="A187" t="s">
        <v>24</v>
      </c>
      <c r="B187" t="s">
        <v>25</v>
      </c>
      <c r="C187">
        <v>2023</v>
      </c>
      <c r="D187" t="s">
        <v>33</v>
      </c>
      <c r="E187" t="s">
        <v>16</v>
      </c>
      <c r="F187">
        <v>256</v>
      </c>
      <c r="G187">
        <v>96.15</v>
      </c>
      <c r="H187">
        <v>83.44</v>
      </c>
      <c r="I187">
        <v>26</v>
      </c>
      <c r="J187" t="s">
        <v>17</v>
      </c>
      <c r="K187" s="14">
        <f>COUNTIFS(B:B,"Beta_Supplies",E:E,"Cancelled")/COUNTIF(B:B,"Beta_Supplies")</f>
        <v>8.9743589743589744E-2</v>
      </c>
      <c r="L187" s="15">
        <v>21360.639999999999</v>
      </c>
      <c r="M187" s="15">
        <v>3253.76</v>
      </c>
      <c r="N187" s="14">
        <f t="shared" si="4"/>
        <v>0.1015625</v>
      </c>
      <c r="O187" s="1">
        <v>0.76</v>
      </c>
      <c r="P187" s="1">
        <f t="shared" si="5"/>
        <v>0.13218928757150294</v>
      </c>
    </row>
    <row r="188" spans="1:16" x14ac:dyDescent="0.45">
      <c r="A188" t="s">
        <v>18</v>
      </c>
      <c r="B188" t="s">
        <v>19</v>
      </c>
      <c r="C188">
        <v>2022</v>
      </c>
      <c r="D188" t="s">
        <v>23</v>
      </c>
      <c r="E188" t="s">
        <v>31</v>
      </c>
      <c r="F188">
        <v>1088</v>
      </c>
      <c r="G188">
        <v>55.29</v>
      </c>
      <c r="H188">
        <v>53.04</v>
      </c>
      <c r="I188">
        <v>161</v>
      </c>
      <c r="J188" t="s">
        <v>28</v>
      </c>
      <c r="K188" s="14">
        <f>COUNTIFS(B:B,"Delta_Logistics",E:E,"Partially Delivered") / COUNTIF(B:B,"Delta_Logistics")</f>
        <v>0.10526315789473684</v>
      </c>
      <c r="L188" s="15">
        <v>57707.519999999997</v>
      </c>
      <c r="M188" s="15">
        <v>2448</v>
      </c>
      <c r="N188" s="14">
        <f t="shared" si="4"/>
        <v>0.14797794117647059</v>
      </c>
      <c r="O188" s="1">
        <v>0.39</v>
      </c>
      <c r="P188" s="1">
        <f t="shared" si="5"/>
        <v>4.0694519804666304E-2</v>
      </c>
    </row>
    <row r="189" spans="1:16" x14ac:dyDescent="0.45">
      <c r="A189" t="s">
        <v>24</v>
      </c>
      <c r="B189" t="s">
        <v>25</v>
      </c>
      <c r="C189">
        <v>2022</v>
      </c>
      <c r="D189" t="s">
        <v>15</v>
      </c>
      <c r="E189" t="s">
        <v>20</v>
      </c>
      <c r="F189">
        <v>1931</v>
      </c>
      <c r="G189">
        <v>72.88</v>
      </c>
      <c r="H189">
        <v>64.69</v>
      </c>
      <c r="I189">
        <v>187</v>
      </c>
      <c r="J189" t="s">
        <v>17</v>
      </c>
      <c r="K189" s="14">
        <f>COUNTIFS(B:B,"Beta_Supplies",E:E,"Delivered") / COUNTIF(B:B,"Beta_Supplies")</f>
        <v>0.70512820512820518</v>
      </c>
      <c r="L189" s="15">
        <v>124916.39</v>
      </c>
      <c r="M189" s="15">
        <v>15814.89</v>
      </c>
      <c r="N189" s="14">
        <f t="shared" si="4"/>
        <v>9.6841015018125323E-2</v>
      </c>
      <c r="O189" s="1">
        <v>0.76</v>
      </c>
      <c r="P189" s="1">
        <f t="shared" si="5"/>
        <v>0.11237650933040612</v>
      </c>
    </row>
    <row r="190" spans="1:16" x14ac:dyDescent="0.45">
      <c r="A190" t="s">
        <v>21</v>
      </c>
      <c r="B190" t="s">
        <v>22</v>
      </c>
      <c r="C190">
        <v>2022</v>
      </c>
      <c r="D190" t="s">
        <v>33</v>
      </c>
      <c r="E190" t="s">
        <v>20</v>
      </c>
      <c r="F190">
        <v>1627</v>
      </c>
      <c r="G190">
        <v>25.76</v>
      </c>
      <c r="H190">
        <v>25.09</v>
      </c>
      <c r="I190">
        <v>74</v>
      </c>
      <c r="J190" t="s">
        <v>17</v>
      </c>
      <c r="K190" s="14">
        <f>COUNTIFS(B:B,"Gamma_Co",E:E,"Delivered") / COUNTIF(B:B,"Gamma_Co")</f>
        <v>0.72027972027972031</v>
      </c>
      <c r="L190" s="15">
        <v>40821.43</v>
      </c>
      <c r="M190" s="15">
        <v>1090.0899999999999</v>
      </c>
      <c r="N190" s="14">
        <f t="shared" si="4"/>
        <v>4.5482483097725873E-2</v>
      </c>
      <c r="O190" s="1">
        <v>0.86</v>
      </c>
      <c r="P190" s="1">
        <f t="shared" si="5"/>
        <v>2.6009316770186398E-2</v>
      </c>
    </row>
    <row r="191" spans="1:16" x14ac:dyDescent="0.45">
      <c r="A191" t="s">
        <v>24</v>
      </c>
      <c r="B191" t="s">
        <v>25</v>
      </c>
      <c r="C191">
        <v>2022</v>
      </c>
      <c r="D191" t="s">
        <v>26</v>
      </c>
      <c r="E191" t="s">
        <v>20</v>
      </c>
      <c r="F191">
        <v>941</v>
      </c>
      <c r="G191">
        <v>28.4</v>
      </c>
      <c r="H191">
        <v>27.21</v>
      </c>
      <c r="I191">
        <v>105</v>
      </c>
      <c r="J191" t="s">
        <v>28</v>
      </c>
      <c r="K191" s="14">
        <f>COUNTIFS(B:B,"Beta_Supplies",E:E,"Delivered") / COUNTIF(B:B,"Beta_Supplies")</f>
        <v>0.70512820512820518</v>
      </c>
      <c r="L191" s="15">
        <v>25604.61</v>
      </c>
      <c r="M191" s="15">
        <v>1119.79</v>
      </c>
      <c r="N191" s="14">
        <f t="shared" si="4"/>
        <v>0.11158342189160468</v>
      </c>
      <c r="O191" s="1">
        <v>0.24</v>
      </c>
      <c r="P191" s="1">
        <f t="shared" si="5"/>
        <v>4.1901408450704149E-2</v>
      </c>
    </row>
    <row r="192" spans="1:16" x14ac:dyDescent="0.45">
      <c r="A192" t="s">
        <v>21</v>
      </c>
      <c r="B192" t="s">
        <v>22</v>
      </c>
      <c r="C192">
        <v>2023</v>
      </c>
      <c r="D192" t="s">
        <v>23</v>
      </c>
      <c r="E192" t="s">
        <v>20</v>
      </c>
      <c r="F192">
        <v>1534</v>
      </c>
      <c r="G192">
        <v>14.98</v>
      </c>
      <c r="H192">
        <v>12.79</v>
      </c>
      <c r="I192">
        <v>55</v>
      </c>
      <c r="J192" t="s">
        <v>17</v>
      </c>
      <c r="K192" s="14">
        <f>COUNTIFS(B:B,"Gamma_Co",E:E,"Delivered") / COUNTIF(B:B,"Gamma_Co")</f>
        <v>0.72027972027972031</v>
      </c>
      <c r="L192" s="15">
        <v>19619.86</v>
      </c>
      <c r="M192" s="15">
        <v>3359.46</v>
      </c>
      <c r="N192" s="14">
        <f t="shared" si="4"/>
        <v>3.5853976531942632E-2</v>
      </c>
      <c r="O192" s="1">
        <v>0.86</v>
      </c>
      <c r="P192" s="1">
        <f t="shared" si="5"/>
        <v>0.14619492656875843</v>
      </c>
    </row>
    <row r="193" spans="1:16" x14ac:dyDescent="0.45">
      <c r="A193" t="s">
        <v>13</v>
      </c>
      <c r="B193" t="s">
        <v>14</v>
      </c>
      <c r="C193">
        <v>2022</v>
      </c>
      <c r="D193" t="s">
        <v>27</v>
      </c>
      <c r="E193" t="s">
        <v>20</v>
      </c>
      <c r="F193">
        <v>1764</v>
      </c>
      <c r="G193">
        <v>25.46</v>
      </c>
      <c r="H193">
        <v>24.52</v>
      </c>
      <c r="I193">
        <v>46</v>
      </c>
      <c r="J193" t="s">
        <v>17</v>
      </c>
      <c r="K193" s="14">
        <f>COUNTIFS(B:B,"Alpha_Inc",E:E,"Delivered")/COUNTIF(B:B,"Alpha_Inc")</f>
        <v>0.75886524822695034</v>
      </c>
      <c r="L193" s="15">
        <v>43253.279999999999</v>
      </c>
      <c r="M193" s="15">
        <v>1658.16</v>
      </c>
      <c r="N193" s="14">
        <f t="shared" si="4"/>
        <v>2.6077097505668934E-2</v>
      </c>
      <c r="O193" s="1">
        <v>0.94</v>
      </c>
      <c r="P193" s="1">
        <f t="shared" si="5"/>
        <v>3.6920659858601775E-2</v>
      </c>
    </row>
    <row r="194" spans="1:16" x14ac:dyDescent="0.45">
      <c r="A194" t="s">
        <v>18</v>
      </c>
      <c r="B194" t="s">
        <v>19</v>
      </c>
      <c r="C194">
        <v>2022</v>
      </c>
      <c r="D194" t="s">
        <v>33</v>
      </c>
      <c r="E194" t="s">
        <v>20</v>
      </c>
      <c r="F194">
        <v>1648</v>
      </c>
      <c r="G194">
        <v>35.42</v>
      </c>
      <c r="H194">
        <v>31.46</v>
      </c>
      <c r="I194">
        <v>155</v>
      </c>
      <c r="J194" t="s">
        <v>28</v>
      </c>
      <c r="K194" s="14">
        <f>COUNTIFS(B:B,"Delta_Logistics",E:E,"Delivered") / COUNTIF(B:B,"Delta_Logistics")</f>
        <v>0.70175438596491224</v>
      </c>
      <c r="L194" s="15">
        <v>51846.080000000002</v>
      </c>
      <c r="M194" s="15">
        <v>6526.08</v>
      </c>
      <c r="N194" s="14">
        <f t="shared" ref="N194:N257" si="6">I194/F194</f>
        <v>9.4053398058252427E-2</v>
      </c>
      <c r="O194" s="1">
        <v>0.39</v>
      </c>
      <c r="P194" s="1">
        <f t="shared" si="5"/>
        <v>0.11180124223602486</v>
      </c>
    </row>
    <row r="195" spans="1:16" x14ac:dyDescent="0.45">
      <c r="A195" t="s">
        <v>21</v>
      </c>
      <c r="B195" t="s">
        <v>22</v>
      </c>
      <c r="C195">
        <v>2023</v>
      </c>
      <c r="D195" t="s">
        <v>26</v>
      </c>
      <c r="E195" t="s">
        <v>20</v>
      </c>
      <c r="F195">
        <v>913</v>
      </c>
      <c r="G195">
        <v>28.01</v>
      </c>
      <c r="H195">
        <v>24.06</v>
      </c>
      <c r="I195">
        <v>53</v>
      </c>
      <c r="J195" t="s">
        <v>17</v>
      </c>
      <c r="K195" s="14">
        <f>COUNTIFS(B:B,"Gamma_Co",E:E,"Delivered") / COUNTIF(B:B,"Gamma_Co")</f>
        <v>0.72027972027972031</v>
      </c>
      <c r="L195" s="15">
        <v>21966.78</v>
      </c>
      <c r="M195" s="15">
        <v>3606.35</v>
      </c>
      <c r="N195" s="14">
        <f t="shared" si="6"/>
        <v>5.8050383351588172E-2</v>
      </c>
      <c r="O195" s="1">
        <v>0.86</v>
      </c>
      <c r="P195" s="1">
        <f t="shared" ref="P195:P258" si="7">((G195-H195)/G195)</f>
        <v>0.14102106390574803</v>
      </c>
    </row>
    <row r="196" spans="1:16" x14ac:dyDescent="0.45">
      <c r="A196" t="s">
        <v>13</v>
      </c>
      <c r="B196" t="s">
        <v>14</v>
      </c>
      <c r="C196">
        <v>2022</v>
      </c>
      <c r="D196" t="s">
        <v>26</v>
      </c>
      <c r="E196" t="s">
        <v>16</v>
      </c>
      <c r="F196">
        <v>792</v>
      </c>
      <c r="G196">
        <v>18.16</v>
      </c>
      <c r="H196">
        <v>17.25</v>
      </c>
      <c r="I196">
        <v>17</v>
      </c>
      <c r="J196" t="s">
        <v>17</v>
      </c>
      <c r="K196" s="14">
        <f>COUNTIFS(B:B,"Alpha_Inc",E:E,"Cancelled") / COUNTIF(B:B,"Alpha_Inc")</f>
        <v>9.2198581560283682E-2</v>
      </c>
      <c r="L196" s="15">
        <v>13662</v>
      </c>
      <c r="M196" s="15">
        <v>720.72</v>
      </c>
      <c r="N196" s="14">
        <f t="shared" si="6"/>
        <v>2.1464646464646464E-2</v>
      </c>
      <c r="O196" s="1">
        <v>0.94</v>
      </c>
      <c r="P196" s="1">
        <f t="shared" si="7"/>
        <v>5.0110132158590316E-2</v>
      </c>
    </row>
    <row r="197" spans="1:16" x14ac:dyDescent="0.45">
      <c r="A197" t="s">
        <v>29</v>
      </c>
      <c r="B197" t="s">
        <v>30</v>
      </c>
      <c r="C197">
        <v>2023</v>
      </c>
      <c r="D197" t="s">
        <v>15</v>
      </c>
      <c r="E197" t="s">
        <v>31</v>
      </c>
      <c r="F197">
        <v>1314</v>
      </c>
      <c r="G197">
        <v>22.63</v>
      </c>
      <c r="H197">
        <v>21.06</v>
      </c>
      <c r="I197">
        <v>44</v>
      </c>
      <c r="J197" t="s">
        <v>17</v>
      </c>
      <c r="K197" s="14">
        <f>COUNTIFS(B:B,"Epsilon_Group",E:E,"Partially Delivered") / COUNTIF(B:B,"Epsilon_Group")</f>
        <v>8.4337349397590355E-2</v>
      </c>
      <c r="L197" s="15">
        <v>27672.84</v>
      </c>
      <c r="M197" s="15">
        <v>2062.98</v>
      </c>
      <c r="N197" s="14">
        <f t="shared" si="6"/>
        <v>3.3485540334855401E-2</v>
      </c>
      <c r="O197" s="1">
        <v>0.98</v>
      </c>
      <c r="P197" s="1">
        <f t="shared" si="7"/>
        <v>6.9376933274414507E-2</v>
      </c>
    </row>
    <row r="198" spans="1:16" x14ac:dyDescent="0.45">
      <c r="A198" t="s">
        <v>24</v>
      </c>
      <c r="B198" t="s">
        <v>25</v>
      </c>
      <c r="C198">
        <v>2022</v>
      </c>
      <c r="D198" t="s">
        <v>23</v>
      </c>
      <c r="E198" t="s">
        <v>20</v>
      </c>
      <c r="F198">
        <v>613</v>
      </c>
      <c r="G198">
        <v>52.5</v>
      </c>
      <c r="H198">
        <v>45.19</v>
      </c>
      <c r="I198">
        <v>70</v>
      </c>
      <c r="J198" t="s">
        <v>17</v>
      </c>
      <c r="K198" s="14">
        <f>COUNTIFS(B:B,"Beta_Supplies",E:E,"Delivered") / COUNTIF(B:B,"Beta_Supplies")</f>
        <v>0.70512820512820518</v>
      </c>
      <c r="L198" s="15">
        <v>27701.47</v>
      </c>
      <c r="M198" s="15">
        <v>4481.03</v>
      </c>
      <c r="N198" s="14">
        <f t="shared" si="6"/>
        <v>0.11419249592169657</v>
      </c>
      <c r="O198" s="1">
        <v>0.76</v>
      </c>
      <c r="P198" s="1">
        <f t="shared" si="7"/>
        <v>0.13923809523809527</v>
      </c>
    </row>
    <row r="199" spans="1:16" x14ac:dyDescent="0.45">
      <c r="A199" t="s">
        <v>13</v>
      </c>
      <c r="B199" t="s">
        <v>14</v>
      </c>
      <c r="C199">
        <v>2022</v>
      </c>
      <c r="D199" t="s">
        <v>15</v>
      </c>
      <c r="E199" t="s">
        <v>20</v>
      </c>
      <c r="F199">
        <v>1070</v>
      </c>
      <c r="G199">
        <v>29.14</v>
      </c>
      <c r="H199">
        <v>26.63</v>
      </c>
      <c r="I199">
        <v>24</v>
      </c>
      <c r="J199" t="s">
        <v>17</v>
      </c>
      <c r="K199" s="14">
        <f>COUNTIFS(B:B,"Alpha_Inc",E:E,"Delivered")/COUNTIF(B:B,"Alpha_Inc")</f>
        <v>0.75886524822695034</v>
      </c>
      <c r="L199" s="15">
        <v>28494.1</v>
      </c>
      <c r="M199" s="15">
        <v>2685.7</v>
      </c>
      <c r="N199" s="14">
        <f t="shared" si="6"/>
        <v>2.2429906542056073E-2</v>
      </c>
      <c r="O199" s="1">
        <v>0.94</v>
      </c>
      <c r="P199" s="1">
        <f t="shared" si="7"/>
        <v>8.6135895676046723E-2</v>
      </c>
    </row>
    <row r="200" spans="1:16" x14ac:dyDescent="0.45">
      <c r="A200" t="s">
        <v>21</v>
      </c>
      <c r="B200" t="s">
        <v>22</v>
      </c>
      <c r="C200">
        <v>2023</v>
      </c>
      <c r="D200" t="s">
        <v>27</v>
      </c>
      <c r="E200" t="s">
        <v>31</v>
      </c>
      <c r="F200">
        <v>145</v>
      </c>
      <c r="G200">
        <v>47.49</v>
      </c>
      <c r="H200">
        <v>42.76</v>
      </c>
      <c r="I200">
        <v>6</v>
      </c>
      <c r="J200" t="s">
        <v>17</v>
      </c>
      <c r="K200" s="14">
        <f>COUNTIFS(B:B,"Gamma_Co",E:E,"Partially Delivered") / COUNTIF(B:B,"Gamma_Co")</f>
        <v>0.12587412587412589</v>
      </c>
      <c r="L200" s="15">
        <v>6200.2</v>
      </c>
      <c r="M200" s="15">
        <v>685.85</v>
      </c>
      <c r="N200" s="14">
        <f t="shared" si="6"/>
        <v>4.1379310344827586E-2</v>
      </c>
      <c r="O200" s="1">
        <v>0.86</v>
      </c>
      <c r="P200" s="1">
        <f t="shared" si="7"/>
        <v>9.9599915771741501E-2</v>
      </c>
    </row>
    <row r="201" spans="1:16" x14ac:dyDescent="0.45">
      <c r="A201" t="s">
        <v>18</v>
      </c>
      <c r="B201" t="s">
        <v>19</v>
      </c>
      <c r="C201">
        <v>2023</v>
      </c>
      <c r="D201" t="s">
        <v>27</v>
      </c>
      <c r="E201" t="s">
        <v>20</v>
      </c>
      <c r="F201">
        <v>1973</v>
      </c>
      <c r="G201">
        <v>59.73</v>
      </c>
      <c r="H201">
        <v>54.95</v>
      </c>
      <c r="I201">
        <v>291</v>
      </c>
      <c r="J201" t="s">
        <v>17</v>
      </c>
      <c r="K201" s="14">
        <f>COUNTIFS(B:B,"Delta_Logistics",E:E,"Delivered") / COUNTIF(B:B,"Delta_Logistics")</f>
        <v>0.70175438596491224</v>
      </c>
      <c r="L201" s="15">
        <v>108416.35</v>
      </c>
      <c r="M201" s="15">
        <v>9430.94</v>
      </c>
      <c r="N201" s="14">
        <f t="shared" si="6"/>
        <v>0.14749113025848962</v>
      </c>
      <c r="O201" s="1">
        <v>0.61</v>
      </c>
      <c r="P201" s="1">
        <f t="shared" si="7"/>
        <v>8.0026787209107553E-2</v>
      </c>
    </row>
    <row r="202" spans="1:16" x14ac:dyDescent="0.45">
      <c r="A202" t="s">
        <v>29</v>
      </c>
      <c r="B202" t="s">
        <v>30</v>
      </c>
      <c r="C202">
        <v>2023</v>
      </c>
      <c r="D202" t="s">
        <v>15</v>
      </c>
      <c r="E202" t="s">
        <v>20</v>
      </c>
      <c r="F202">
        <v>1807</v>
      </c>
      <c r="G202">
        <v>78.63</v>
      </c>
      <c r="H202">
        <v>73.08</v>
      </c>
      <c r="I202">
        <v>100</v>
      </c>
      <c r="J202" t="s">
        <v>17</v>
      </c>
      <c r="K202" s="14">
        <f>COUNTIFS(B:B,"Epsilon_Group",E:E,"Delivered") / COUNTIF(B:B,"Epsilon_Group")</f>
        <v>0.72289156626506024</v>
      </c>
      <c r="L202" s="15">
        <v>132055.56</v>
      </c>
      <c r="M202" s="15">
        <v>10028.85</v>
      </c>
      <c r="N202" s="14">
        <f t="shared" si="6"/>
        <v>5.5340343110127282E-2</v>
      </c>
      <c r="O202" s="1">
        <v>0.98</v>
      </c>
      <c r="P202" s="1">
        <f t="shared" si="7"/>
        <v>7.0583746661579516E-2</v>
      </c>
    </row>
    <row r="203" spans="1:16" x14ac:dyDescent="0.45">
      <c r="A203" t="s">
        <v>29</v>
      </c>
      <c r="B203" t="s">
        <v>30</v>
      </c>
      <c r="C203">
        <v>2022</v>
      </c>
      <c r="D203" t="s">
        <v>33</v>
      </c>
      <c r="E203" t="s">
        <v>20</v>
      </c>
      <c r="F203">
        <v>534</v>
      </c>
      <c r="G203">
        <v>13.88</v>
      </c>
      <c r="H203">
        <v>12.51</v>
      </c>
      <c r="I203">
        <v>100</v>
      </c>
      <c r="J203" t="s">
        <v>17</v>
      </c>
      <c r="K203" s="14">
        <f>COUNTIFS(B:B,"Epsilon_Group",E:E,"Delivered") / COUNTIF(B:B,"Epsilon_Group")</f>
        <v>0.72289156626506024</v>
      </c>
      <c r="L203" s="15">
        <v>6680.34</v>
      </c>
      <c r="M203" s="15">
        <v>731.58</v>
      </c>
      <c r="N203" s="14">
        <f t="shared" si="6"/>
        <v>0.18726591760299627</v>
      </c>
      <c r="O203" s="1">
        <v>0.98</v>
      </c>
      <c r="P203" s="1">
        <f t="shared" si="7"/>
        <v>9.870317002881851E-2</v>
      </c>
    </row>
    <row r="204" spans="1:16" x14ac:dyDescent="0.45">
      <c r="A204" t="s">
        <v>13</v>
      </c>
      <c r="B204" t="s">
        <v>14</v>
      </c>
      <c r="C204">
        <v>2022</v>
      </c>
      <c r="D204" t="s">
        <v>33</v>
      </c>
      <c r="E204" t="s">
        <v>20</v>
      </c>
      <c r="F204">
        <v>1480</v>
      </c>
      <c r="G204">
        <v>85.22</v>
      </c>
      <c r="H204">
        <v>75.48</v>
      </c>
      <c r="I204">
        <v>100</v>
      </c>
      <c r="J204" t="s">
        <v>17</v>
      </c>
      <c r="K204" s="14">
        <f>COUNTIFS(B:B,"Alpha_Inc",E:E,"Delivered")/COUNTIF(B:B,"Alpha_Inc")</f>
        <v>0.75886524822695034</v>
      </c>
      <c r="L204" s="15">
        <v>111710.39999999999</v>
      </c>
      <c r="M204" s="15">
        <v>14415.2</v>
      </c>
      <c r="N204" s="14">
        <f t="shared" si="6"/>
        <v>6.7567567567567571E-2</v>
      </c>
      <c r="O204" s="1">
        <v>0.94</v>
      </c>
      <c r="P204" s="1">
        <f t="shared" si="7"/>
        <v>0.1142924196198075</v>
      </c>
    </row>
    <row r="205" spans="1:16" x14ac:dyDescent="0.45">
      <c r="A205" t="s">
        <v>13</v>
      </c>
      <c r="B205" t="s">
        <v>14</v>
      </c>
      <c r="C205">
        <v>2023</v>
      </c>
      <c r="D205" t="s">
        <v>15</v>
      </c>
      <c r="E205" t="s">
        <v>20</v>
      </c>
      <c r="F205">
        <v>280</v>
      </c>
      <c r="G205">
        <v>72.16</v>
      </c>
      <c r="H205">
        <v>62.38</v>
      </c>
      <c r="I205">
        <v>100</v>
      </c>
      <c r="J205" t="s">
        <v>17</v>
      </c>
      <c r="K205" s="14">
        <f>COUNTIFS(B:B,"Alpha_Inc",E:E,"Delivered")/COUNTIF(B:B,"Alpha_Inc")</f>
        <v>0.75886524822695034</v>
      </c>
      <c r="L205" s="15">
        <v>17466.400000000001</v>
      </c>
      <c r="M205" s="15">
        <v>2738.4</v>
      </c>
      <c r="N205" s="14">
        <f t="shared" si="6"/>
        <v>0.35714285714285715</v>
      </c>
      <c r="O205" s="1">
        <v>0.94</v>
      </c>
      <c r="P205" s="1">
        <f t="shared" si="7"/>
        <v>0.13553215077605313</v>
      </c>
    </row>
    <row r="206" spans="1:16" x14ac:dyDescent="0.45">
      <c r="A206" t="s">
        <v>24</v>
      </c>
      <c r="B206" t="s">
        <v>25</v>
      </c>
      <c r="C206">
        <v>2023</v>
      </c>
      <c r="D206" t="s">
        <v>15</v>
      </c>
      <c r="E206" t="s">
        <v>16</v>
      </c>
      <c r="F206">
        <v>798</v>
      </c>
      <c r="G206">
        <v>19.09</v>
      </c>
      <c r="H206">
        <v>17.760000000000002</v>
      </c>
      <c r="I206">
        <v>100</v>
      </c>
      <c r="J206" t="s">
        <v>17</v>
      </c>
      <c r="K206" s="14">
        <f>COUNTIFS(B:B,"Beta_Supplies",E:E,"Cancelled")/COUNTIF(B:B,"Beta_Supplies")</f>
        <v>8.9743589743589744E-2</v>
      </c>
      <c r="L206" s="15">
        <v>14172.48</v>
      </c>
      <c r="M206" s="15">
        <v>1061.3399999999999</v>
      </c>
      <c r="N206" s="14">
        <f t="shared" si="6"/>
        <v>0.12531328320802004</v>
      </c>
      <c r="O206" s="1">
        <v>0.76</v>
      </c>
      <c r="P206" s="1">
        <f t="shared" si="7"/>
        <v>6.9669984284965861E-2</v>
      </c>
    </row>
    <row r="207" spans="1:16" x14ac:dyDescent="0.45">
      <c r="A207" t="s">
        <v>29</v>
      </c>
      <c r="B207" t="s">
        <v>30</v>
      </c>
      <c r="C207">
        <v>2023</v>
      </c>
      <c r="D207" t="s">
        <v>33</v>
      </c>
      <c r="E207" t="s">
        <v>20</v>
      </c>
      <c r="F207">
        <v>1728</v>
      </c>
      <c r="G207">
        <v>94.83</v>
      </c>
      <c r="H207">
        <v>90.2</v>
      </c>
      <c r="I207">
        <v>100</v>
      </c>
      <c r="J207" t="s">
        <v>17</v>
      </c>
      <c r="K207" s="14">
        <f>COUNTIFS(B:B,"Epsilon_Group",E:E,"Delivered") / COUNTIF(B:B,"Epsilon_Group")</f>
        <v>0.72289156626506024</v>
      </c>
      <c r="L207" s="15">
        <v>155865.60000000001</v>
      </c>
      <c r="M207" s="15">
        <v>8000.64</v>
      </c>
      <c r="N207" s="14">
        <f t="shared" si="6"/>
        <v>5.7870370370370371E-2</v>
      </c>
      <c r="O207" s="1">
        <v>0.98</v>
      </c>
      <c r="P207" s="1">
        <f t="shared" si="7"/>
        <v>4.8824211747337296E-2</v>
      </c>
    </row>
    <row r="208" spans="1:16" x14ac:dyDescent="0.45">
      <c r="A208" t="s">
        <v>29</v>
      </c>
      <c r="B208" t="s">
        <v>30</v>
      </c>
      <c r="C208">
        <v>2022</v>
      </c>
      <c r="D208" t="s">
        <v>23</v>
      </c>
      <c r="E208" t="s">
        <v>20</v>
      </c>
      <c r="F208">
        <v>1244</v>
      </c>
      <c r="G208">
        <v>96.13</v>
      </c>
      <c r="H208">
        <v>84.78</v>
      </c>
      <c r="I208">
        <v>43</v>
      </c>
      <c r="J208" t="s">
        <v>17</v>
      </c>
      <c r="K208" s="14">
        <f>COUNTIFS(B:B,"Epsilon_Group",E:E,"Delivered") / COUNTIF(B:B,"Epsilon_Group")</f>
        <v>0.72289156626506024</v>
      </c>
      <c r="L208" s="15">
        <v>105466.32</v>
      </c>
      <c r="M208" s="15">
        <v>14119.4</v>
      </c>
      <c r="N208" s="14">
        <f t="shared" si="6"/>
        <v>3.4565916398713828E-2</v>
      </c>
      <c r="O208" s="1">
        <v>0.98</v>
      </c>
      <c r="P208" s="1">
        <f t="shared" si="7"/>
        <v>0.11806928118173302</v>
      </c>
    </row>
    <row r="209" spans="1:16" x14ac:dyDescent="0.45">
      <c r="A209" t="s">
        <v>24</v>
      </c>
      <c r="B209" t="s">
        <v>25</v>
      </c>
      <c r="C209">
        <v>2023</v>
      </c>
      <c r="D209" t="s">
        <v>15</v>
      </c>
      <c r="E209" t="s">
        <v>20</v>
      </c>
      <c r="F209">
        <v>590</v>
      </c>
      <c r="G209">
        <v>16.89</v>
      </c>
      <c r="H209">
        <v>15.56</v>
      </c>
      <c r="I209">
        <v>46</v>
      </c>
      <c r="J209" t="s">
        <v>28</v>
      </c>
      <c r="K209" s="14">
        <f>COUNTIFS(B:B,"Beta_Supplies",E:E,"Delivered") / COUNTIF(B:B,"Beta_Supplies")</f>
        <v>0.70512820512820518</v>
      </c>
      <c r="L209" s="15">
        <v>9180.4</v>
      </c>
      <c r="M209" s="15">
        <v>784.7</v>
      </c>
      <c r="N209" s="14">
        <f t="shared" si="6"/>
        <v>7.796610169491526E-2</v>
      </c>
      <c r="O209" s="1">
        <v>0.24</v>
      </c>
      <c r="P209" s="1">
        <f t="shared" si="7"/>
        <v>7.8744819419775014E-2</v>
      </c>
    </row>
    <row r="210" spans="1:16" x14ac:dyDescent="0.45">
      <c r="A210" t="s">
        <v>18</v>
      </c>
      <c r="B210" t="s">
        <v>19</v>
      </c>
      <c r="C210">
        <v>2023</v>
      </c>
      <c r="D210" t="s">
        <v>26</v>
      </c>
      <c r="E210" t="s">
        <v>20</v>
      </c>
      <c r="F210">
        <v>1109</v>
      </c>
      <c r="G210">
        <v>38.93</v>
      </c>
      <c r="H210">
        <v>33.33</v>
      </c>
      <c r="I210">
        <v>152</v>
      </c>
      <c r="J210" t="s">
        <v>17</v>
      </c>
      <c r="K210" s="14">
        <f>COUNTIFS(B:B,"Delta_Logistics",E:E,"Delivered") / COUNTIF(B:B,"Delta_Logistics")</f>
        <v>0.70175438596491224</v>
      </c>
      <c r="L210" s="15">
        <v>36962.97</v>
      </c>
      <c r="M210" s="15">
        <v>6210.4</v>
      </c>
      <c r="N210" s="14">
        <f t="shared" si="6"/>
        <v>0.13706041478809738</v>
      </c>
      <c r="O210" s="1">
        <v>0.61</v>
      </c>
      <c r="P210" s="1">
        <f t="shared" si="7"/>
        <v>0.14384793218597486</v>
      </c>
    </row>
    <row r="211" spans="1:16" x14ac:dyDescent="0.45">
      <c r="A211" t="s">
        <v>24</v>
      </c>
      <c r="B211" t="s">
        <v>25</v>
      </c>
      <c r="C211">
        <v>2022</v>
      </c>
      <c r="D211" t="s">
        <v>23</v>
      </c>
      <c r="E211" t="s">
        <v>20</v>
      </c>
      <c r="F211">
        <v>574</v>
      </c>
      <c r="G211">
        <v>85.03</v>
      </c>
      <c r="H211">
        <v>82.55</v>
      </c>
      <c r="I211">
        <v>54</v>
      </c>
      <c r="J211" t="s">
        <v>17</v>
      </c>
      <c r="K211" s="14">
        <f>COUNTIFS(B:B,"Beta_Supplies",E:E,"Delivered") / COUNTIF(B:B,"Beta_Supplies")</f>
        <v>0.70512820512820518</v>
      </c>
      <c r="L211" s="15">
        <v>47383.7</v>
      </c>
      <c r="M211" s="15">
        <v>1423.52</v>
      </c>
      <c r="N211" s="14">
        <f t="shared" si="6"/>
        <v>9.4076655052264813E-2</v>
      </c>
      <c r="O211" s="1">
        <v>0.76</v>
      </c>
      <c r="P211" s="1">
        <f t="shared" si="7"/>
        <v>2.9166176643537621E-2</v>
      </c>
    </row>
    <row r="212" spans="1:16" x14ac:dyDescent="0.45">
      <c r="A212" t="s">
        <v>21</v>
      </c>
      <c r="B212" t="s">
        <v>22</v>
      </c>
      <c r="C212">
        <v>2024</v>
      </c>
      <c r="D212" t="s">
        <v>15</v>
      </c>
      <c r="E212" t="s">
        <v>20</v>
      </c>
      <c r="F212">
        <v>1233</v>
      </c>
      <c r="G212">
        <v>86.62</v>
      </c>
      <c r="H212">
        <v>76.59</v>
      </c>
      <c r="I212">
        <v>65</v>
      </c>
      <c r="J212" t="s">
        <v>17</v>
      </c>
      <c r="K212" s="14">
        <f>COUNTIFS(B:B,"Gamma_Co",E:E,"Delivered") / COUNTIF(B:B,"Gamma_Co")</f>
        <v>0.72027972027972031</v>
      </c>
      <c r="L212" s="15">
        <v>94435.47</v>
      </c>
      <c r="M212" s="15">
        <v>12366.99</v>
      </c>
      <c r="N212" s="14">
        <f t="shared" si="6"/>
        <v>5.2716950527169508E-2</v>
      </c>
      <c r="O212" s="1">
        <v>0.86</v>
      </c>
      <c r="P212" s="1">
        <f t="shared" si="7"/>
        <v>0.11579311937196952</v>
      </c>
    </row>
    <row r="213" spans="1:16" x14ac:dyDescent="0.45">
      <c r="A213" t="s">
        <v>21</v>
      </c>
      <c r="B213" t="s">
        <v>22</v>
      </c>
      <c r="C213">
        <v>2022</v>
      </c>
      <c r="D213" t="s">
        <v>26</v>
      </c>
      <c r="E213" t="s">
        <v>20</v>
      </c>
      <c r="F213">
        <v>1912</v>
      </c>
      <c r="G213">
        <v>27.94</v>
      </c>
      <c r="H213">
        <v>25.59</v>
      </c>
      <c r="I213">
        <v>83</v>
      </c>
      <c r="J213" t="s">
        <v>28</v>
      </c>
      <c r="K213" s="14">
        <f>COUNTIFS(B:B,"Gamma_Co",E:E,"Delivered") / COUNTIF(B:B,"Gamma_Co")</f>
        <v>0.72027972027972031</v>
      </c>
      <c r="L213" s="15">
        <v>48928.08</v>
      </c>
      <c r="M213" s="15">
        <v>4493.2</v>
      </c>
      <c r="N213" s="14">
        <f t="shared" si="6"/>
        <v>4.3410041841004186E-2</v>
      </c>
      <c r="O213" s="1">
        <v>0.14000000000000001</v>
      </c>
      <c r="P213" s="1">
        <f t="shared" si="7"/>
        <v>8.4108804581245575E-2</v>
      </c>
    </row>
    <row r="214" spans="1:16" x14ac:dyDescent="0.45">
      <c r="A214" t="s">
        <v>13</v>
      </c>
      <c r="B214" t="s">
        <v>14</v>
      </c>
      <c r="C214">
        <v>2023</v>
      </c>
      <c r="D214" t="s">
        <v>26</v>
      </c>
      <c r="E214" t="s">
        <v>20</v>
      </c>
      <c r="F214">
        <v>1772</v>
      </c>
      <c r="G214">
        <v>30.72</v>
      </c>
      <c r="H214">
        <v>27.76</v>
      </c>
      <c r="I214">
        <v>46</v>
      </c>
      <c r="J214" t="s">
        <v>28</v>
      </c>
      <c r="K214" s="14">
        <f>COUNTIFS(B:B,"Alpha_Inc",E:E,"Delivered")/COUNTIF(B:B,"Alpha_Inc")</f>
        <v>0.75886524822695034</v>
      </c>
      <c r="L214" s="15">
        <v>49190.720000000001</v>
      </c>
      <c r="M214" s="15">
        <v>5245.12</v>
      </c>
      <c r="N214" s="14">
        <f t="shared" si="6"/>
        <v>2.5959367945823927E-2</v>
      </c>
      <c r="O214" s="1">
        <v>0.06</v>
      </c>
      <c r="P214" s="1">
        <f t="shared" si="7"/>
        <v>9.6354166666666588E-2</v>
      </c>
    </row>
    <row r="215" spans="1:16" x14ac:dyDescent="0.45">
      <c r="A215" t="s">
        <v>24</v>
      </c>
      <c r="B215" t="s">
        <v>25</v>
      </c>
      <c r="C215">
        <v>2023</v>
      </c>
      <c r="D215" t="s">
        <v>15</v>
      </c>
      <c r="E215" t="s">
        <v>20</v>
      </c>
      <c r="F215">
        <v>1316</v>
      </c>
      <c r="G215">
        <v>48.11</v>
      </c>
      <c r="H215">
        <v>41.9</v>
      </c>
      <c r="I215">
        <v>135</v>
      </c>
      <c r="J215" t="s">
        <v>17</v>
      </c>
      <c r="K215" s="14">
        <f>COUNTIFS(B:B,"Beta_Supplies",E:E,"Delivered") / COUNTIF(B:B,"Beta_Supplies")</f>
        <v>0.70512820512820518</v>
      </c>
      <c r="L215" s="15">
        <v>55140.4</v>
      </c>
      <c r="M215" s="15">
        <v>8172.36</v>
      </c>
      <c r="N215" s="14">
        <f t="shared" si="6"/>
        <v>0.10258358662613981</v>
      </c>
      <c r="O215" s="1">
        <v>0.76</v>
      </c>
      <c r="P215" s="1">
        <f t="shared" si="7"/>
        <v>0.1290791935148618</v>
      </c>
    </row>
    <row r="216" spans="1:16" x14ac:dyDescent="0.45">
      <c r="A216" t="s">
        <v>24</v>
      </c>
      <c r="B216" t="s">
        <v>25</v>
      </c>
      <c r="C216">
        <v>2023</v>
      </c>
      <c r="D216" t="s">
        <v>15</v>
      </c>
      <c r="E216" t="s">
        <v>20</v>
      </c>
      <c r="F216">
        <v>1159</v>
      </c>
      <c r="G216">
        <v>59.24</v>
      </c>
      <c r="H216">
        <v>58.08</v>
      </c>
      <c r="I216">
        <v>105</v>
      </c>
      <c r="J216" t="s">
        <v>17</v>
      </c>
      <c r="K216" s="14">
        <f>COUNTIFS(B:B,"Beta_Supplies",E:E,"Delivered") / COUNTIF(B:B,"Beta_Supplies")</f>
        <v>0.70512820512820518</v>
      </c>
      <c r="L216" s="15">
        <v>67314.720000000001</v>
      </c>
      <c r="M216" s="15">
        <v>1344.44</v>
      </c>
      <c r="N216" s="14">
        <f t="shared" si="6"/>
        <v>9.0595340811044006E-2</v>
      </c>
      <c r="O216" s="1">
        <v>0.76</v>
      </c>
      <c r="P216" s="1">
        <f t="shared" si="7"/>
        <v>1.9581363943281627E-2</v>
      </c>
    </row>
    <row r="217" spans="1:16" x14ac:dyDescent="0.45">
      <c r="A217" t="s">
        <v>13</v>
      </c>
      <c r="B217" t="s">
        <v>14</v>
      </c>
      <c r="C217">
        <v>2023</v>
      </c>
      <c r="D217" t="s">
        <v>15</v>
      </c>
      <c r="E217" t="s">
        <v>20</v>
      </c>
      <c r="F217">
        <v>1869</v>
      </c>
      <c r="G217">
        <v>69.58</v>
      </c>
      <c r="H217">
        <v>67.5</v>
      </c>
      <c r="I217">
        <v>31</v>
      </c>
      <c r="J217" t="s">
        <v>17</v>
      </c>
      <c r="K217" s="14">
        <f>COUNTIFS(B:B,"Alpha_Inc",E:E,"Delivered")/COUNTIF(B:B,"Alpha_Inc")</f>
        <v>0.75886524822695034</v>
      </c>
      <c r="L217" s="15">
        <v>126157.5</v>
      </c>
      <c r="M217" s="15">
        <v>3887.52</v>
      </c>
      <c r="N217" s="14">
        <f t="shared" si="6"/>
        <v>1.6586409844836811E-2</v>
      </c>
      <c r="O217" s="1">
        <v>0.94</v>
      </c>
      <c r="P217" s="1">
        <f t="shared" si="7"/>
        <v>2.9893647599885002E-2</v>
      </c>
    </row>
    <row r="218" spans="1:16" x14ac:dyDescent="0.45">
      <c r="A218" t="s">
        <v>18</v>
      </c>
      <c r="B218" t="s">
        <v>19</v>
      </c>
      <c r="C218">
        <v>2023</v>
      </c>
      <c r="D218" t="s">
        <v>26</v>
      </c>
      <c r="E218" t="s">
        <v>20</v>
      </c>
      <c r="F218">
        <v>627</v>
      </c>
      <c r="G218">
        <v>46.23</v>
      </c>
      <c r="H218">
        <v>42.87</v>
      </c>
      <c r="I218">
        <v>155</v>
      </c>
      <c r="J218" t="s">
        <v>17</v>
      </c>
      <c r="K218" s="14">
        <f>COUNTIFS(B:B,"Delta_Logistics",E:E,"Delivered") / COUNTIF(B:B,"Delta_Logistics")</f>
        <v>0.70175438596491224</v>
      </c>
      <c r="L218" s="15">
        <v>26879.49</v>
      </c>
      <c r="M218" s="15">
        <v>2106.7199999999998</v>
      </c>
      <c r="N218" s="14">
        <f t="shared" si="6"/>
        <v>0.24720893141945774</v>
      </c>
      <c r="O218" s="1">
        <v>0.61</v>
      </c>
      <c r="P218" s="1">
        <f t="shared" si="7"/>
        <v>7.2680077871511997E-2</v>
      </c>
    </row>
    <row r="219" spans="1:16" x14ac:dyDescent="0.45">
      <c r="A219" t="s">
        <v>24</v>
      </c>
      <c r="B219" t="s">
        <v>25</v>
      </c>
      <c r="C219">
        <v>2023</v>
      </c>
      <c r="D219" t="s">
        <v>27</v>
      </c>
      <c r="E219" t="s">
        <v>32</v>
      </c>
      <c r="F219">
        <v>731</v>
      </c>
      <c r="G219">
        <v>56.02</v>
      </c>
      <c r="H219">
        <v>54.78</v>
      </c>
      <c r="I219">
        <v>70</v>
      </c>
      <c r="J219" t="s">
        <v>28</v>
      </c>
      <c r="K219" s="14">
        <f>COUNTIFS(B:B,"Beta_Supplies",E:E,"Pending") / COUNTIF(B:B,"Beta_Supplies")</f>
        <v>0.12179487179487179</v>
      </c>
      <c r="L219" s="15">
        <v>40044.18</v>
      </c>
      <c r="M219" s="15">
        <v>906.44</v>
      </c>
      <c r="N219" s="14">
        <f t="shared" si="6"/>
        <v>9.575923392612859E-2</v>
      </c>
      <c r="O219" s="1">
        <v>0.24</v>
      </c>
      <c r="P219" s="1">
        <f t="shared" si="7"/>
        <v>2.2134951802927561E-2</v>
      </c>
    </row>
    <row r="220" spans="1:16" x14ac:dyDescent="0.45">
      <c r="A220" t="s">
        <v>29</v>
      </c>
      <c r="B220" t="s">
        <v>30</v>
      </c>
      <c r="C220">
        <v>2023</v>
      </c>
      <c r="D220" t="s">
        <v>15</v>
      </c>
      <c r="E220" t="s">
        <v>16</v>
      </c>
      <c r="F220">
        <v>606</v>
      </c>
      <c r="G220">
        <v>83.07</v>
      </c>
      <c r="H220">
        <v>79.22</v>
      </c>
      <c r="I220">
        <v>16</v>
      </c>
      <c r="J220" t="s">
        <v>17</v>
      </c>
      <c r="K220" s="14">
        <f>COUNTIFS(B:B,"Epsilon_Group",E:E,"Cancelled") / COUNTIF(B:B,"Epsilon_Group")</f>
        <v>8.4337349397590355E-2</v>
      </c>
      <c r="L220" s="15">
        <v>48007.32</v>
      </c>
      <c r="M220" s="15">
        <v>2333.1</v>
      </c>
      <c r="N220" s="14">
        <f t="shared" si="6"/>
        <v>2.6402640264026403E-2</v>
      </c>
      <c r="O220" s="1">
        <v>0.98</v>
      </c>
      <c r="P220" s="1">
        <f t="shared" si="7"/>
        <v>4.6346454797158959E-2</v>
      </c>
    </row>
    <row r="221" spans="1:16" x14ac:dyDescent="0.45">
      <c r="A221" t="s">
        <v>24</v>
      </c>
      <c r="B221" t="s">
        <v>25</v>
      </c>
      <c r="C221">
        <v>2022</v>
      </c>
      <c r="D221" t="s">
        <v>15</v>
      </c>
      <c r="E221" t="s">
        <v>20</v>
      </c>
      <c r="F221">
        <v>1647</v>
      </c>
      <c r="G221">
        <v>13.57</v>
      </c>
      <c r="H221">
        <v>12.33</v>
      </c>
      <c r="I221">
        <v>157</v>
      </c>
      <c r="J221" t="s">
        <v>17</v>
      </c>
      <c r="K221" s="14">
        <f>COUNTIFS(B:B,"Beta_Supplies",E:E,"Delivered") / COUNTIF(B:B,"Beta_Supplies")</f>
        <v>0.70512820512820518</v>
      </c>
      <c r="L221" s="15">
        <v>20307.509999999998</v>
      </c>
      <c r="M221" s="15">
        <v>2042.28</v>
      </c>
      <c r="N221" s="14">
        <f t="shared" si="6"/>
        <v>9.532483302975106E-2</v>
      </c>
      <c r="O221" s="1">
        <v>0.76</v>
      </c>
      <c r="P221" s="1">
        <f t="shared" si="7"/>
        <v>9.1378039793662505E-2</v>
      </c>
    </row>
    <row r="222" spans="1:16" x14ac:dyDescent="0.45">
      <c r="A222" t="s">
        <v>18</v>
      </c>
      <c r="B222" t="s">
        <v>19</v>
      </c>
      <c r="C222">
        <v>2022</v>
      </c>
      <c r="D222" t="s">
        <v>23</v>
      </c>
      <c r="E222" t="s">
        <v>20</v>
      </c>
      <c r="F222">
        <v>1062</v>
      </c>
      <c r="G222">
        <v>34.03</v>
      </c>
      <c r="H222">
        <v>30.46</v>
      </c>
      <c r="I222">
        <v>155</v>
      </c>
      <c r="J222" t="s">
        <v>17</v>
      </c>
      <c r="K222" s="14">
        <f>COUNTIFS(B:B,"Delta_Logistics",E:E,"Delivered") / COUNTIF(B:B,"Delta_Logistics")</f>
        <v>0.70175438596491224</v>
      </c>
      <c r="L222" s="15">
        <v>32348.52</v>
      </c>
      <c r="M222" s="15">
        <v>3791.34</v>
      </c>
      <c r="N222" s="14">
        <f t="shared" si="6"/>
        <v>0.14595103578154425</v>
      </c>
      <c r="O222" s="1">
        <v>0.61</v>
      </c>
      <c r="P222" s="1">
        <f t="shared" si="7"/>
        <v>0.10490743461651485</v>
      </c>
    </row>
    <row r="223" spans="1:16" x14ac:dyDescent="0.45">
      <c r="A223" t="s">
        <v>24</v>
      </c>
      <c r="B223" t="s">
        <v>25</v>
      </c>
      <c r="C223">
        <v>2022</v>
      </c>
      <c r="D223" t="s">
        <v>15</v>
      </c>
      <c r="E223" t="s">
        <v>20</v>
      </c>
      <c r="F223">
        <v>695</v>
      </c>
      <c r="G223">
        <v>76.8</v>
      </c>
      <c r="H223">
        <v>69.760000000000005</v>
      </c>
      <c r="I223">
        <v>105</v>
      </c>
      <c r="J223" t="s">
        <v>28</v>
      </c>
      <c r="K223" s="14">
        <f>COUNTIFS(B:B,"Beta_Supplies",E:E,"Delivered") / COUNTIF(B:B,"Beta_Supplies")</f>
        <v>0.70512820512820518</v>
      </c>
      <c r="L223" s="15">
        <v>48483.199999999997</v>
      </c>
      <c r="M223" s="15">
        <v>4892.8</v>
      </c>
      <c r="N223" s="14">
        <f t="shared" si="6"/>
        <v>0.15107913669064749</v>
      </c>
      <c r="O223" s="1">
        <v>0.24</v>
      </c>
      <c r="P223" s="1">
        <f t="shared" si="7"/>
        <v>9.1666666666666563E-2</v>
      </c>
    </row>
    <row r="224" spans="1:16" x14ac:dyDescent="0.45">
      <c r="A224" t="s">
        <v>29</v>
      </c>
      <c r="B224" t="s">
        <v>30</v>
      </c>
      <c r="C224">
        <v>2022</v>
      </c>
      <c r="D224" t="s">
        <v>23</v>
      </c>
      <c r="E224" t="s">
        <v>20</v>
      </c>
      <c r="F224">
        <v>845</v>
      </c>
      <c r="G224">
        <v>91.47</v>
      </c>
      <c r="H224">
        <v>86.97</v>
      </c>
      <c r="I224">
        <v>33</v>
      </c>
      <c r="J224" t="s">
        <v>17</v>
      </c>
      <c r="K224" s="14">
        <f>COUNTIFS(B:B,"Epsilon_Group",E:E,"Delivered") / COUNTIF(B:B,"Epsilon_Group")</f>
        <v>0.72289156626506024</v>
      </c>
      <c r="L224" s="15">
        <v>73489.649999999994</v>
      </c>
      <c r="M224" s="15">
        <v>3802.5</v>
      </c>
      <c r="N224" s="14">
        <f t="shared" si="6"/>
        <v>3.9053254437869819E-2</v>
      </c>
      <c r="O224" s="1">
        <v>0.98</v>
      </c>
      <c r="P224" s="1">
        <f t="shared" si="7"/>
        <v>4.9196457855034438E-2</v>
      </c>
    </row>
    <row r="225" spans="1:16" x14ac:dyDescent="0.45">
      <c r="A225" t="s">
        <v>21</v>
      </c>
      <c r="B225" t="s">
        <v>22</v>
      </c>
      <c r="C225">
        <v>2022</v>
      </c>
      <c r="D225" t="s">
        <v>23</v>
      </c>
      <c r="E225" t="s">
        <v>20</v>
      </c>
      <c r="F225">
        <v>1101</v>
      </c>
      <c r="G225">
        <v>59.13</v>
      </c>
      <c r="H225">
        <v>52.51</v>
      </c>
      <c r="I225">
        <v>54</v>
      </c>
      <c r="J225" t="s">
        <v>17</v>
      </c>
      <c r="K225" s="14">
        <f>COUNTIFS(B:B,"Gamma_Co",E:E,"Delivered") / COUNTIF(B:B,"Gamma_Co")</f>
        <v>0.72027972027972031</v>
      </c>
      <c r="L225" s="15">
        <v>57813.51</v>
      </c>
      <c r="M225" s="15">
        <v>7288.62</v>
      </c>
      <c r="N225" s="14">
        <f t="shared" si="6"/>
        <v>4.9046321525885561E-2</v>
      </c>
      <c r="O225" s="1">
        <v>0.86</v>
      </c>
      <c r="P225" s="1">
        <f t="shared" si="7"/>
        <v>0.11195670556401158</v>
      </c>
    </row>
    <row r="226" spans="1:16" x14ac:dyDescent="0.45">
      <c r="A226" t="s">
        <v>21</v>
      </c>
      <c r="B226" t="s">
        <v>22</v>
      </c>
      <c r="C226">
        <v>2022</v>
      </c>
      <c r="D226" t="s">
        <v>27</v>
      </c>
      <c r="E226" t="s">
        <v>20</v>
      </c>
      <c r="F226">
        <v>1693</v>
      </c>
      <c r="G226">
        <v>57.89</v>
      </c>
      <c r="H226">
        <v>49.84</v>
      </c>
      <c r="I226">
        <v>88</v>
      </c>
      <c r="J226" t="s">
        <v>17</v>
      </c>
      <c r="K226" s="14">
        <f>COUNTIFS(B:B,"Gamma_Co",E:E,"Delivered") / COUNTIF(B:B,"Gamma_Co")</f>
        <v>0.72027972027972031</v>
      </c>
      <c r="L226" s="15">
        <v>84379.12</v>
      </c>
      <c r="M226" s="15">
        <v>13628.65</v>
      </c>
      <c r="N226" s="14">
        <f t="shared" si="6"/>
        <v>5.1978735971647962E-2</v>
      </c>
      <c r="O226" s="1">
        <v>0.86</v>
      </c>
      <c r="P226" s="1">
        <f t="shared" si="7"/>
        <v>0.13905683192261181</v>
      </c>
    </row>
    <row r="227" spans="1:16" x14ac:dyDescent="0.45">
      <c r="A227" t="s">
        <v>18</v>
      </c>
      <c r="B227" t="s">
        <v>19</v>
      </c>
      <c r="C227">
        <v>2023</v>
      </c>
      <c r="D227" t="s">
        <v>15</v>
      </c>
      <c r="E227" t="s">
        <v>16</v>
      </c>
      <c r="F227">
        <v>1629</v>
      </c>
      <c r="G227">
        <v>21.51</v>
      </c>
      <c r="H227">
        <v>19.41</v>
      </c>
      <c r="I227">
        <v>250</v>
      </c>
      <c r="J227" t="s">
        <v>28</v>
      </c>
      <c r="K227" s="14">
        <f>COUNTIFS(B:B,"Delta_Logistics",E:E,"Cancelled") / COUNTIF(B:B,"Delta_Logistics")</f>
        <v>9.3567251461988299E-2</v>
      </c>
      <c r="L227" s="15">
        <v>31618.89</v>
      </c>
      <c r="M227" s="15">
        <v>3420.9</v>
      </c>
      <c r="N227" s="14">
        <f t="shared" si="6"/>
        <v>0.1534683855125844</v>
      </c>
      <c r="O227" s="1">
        <v>0.39</v>
      </c>
      <c r="P227" s="1">
        <f t="shared" si="7"/>
        <v>9.7629009762901037E-2</v>
      </c>
    </row>
    <row r="228" spans="1:16" x14ac:dyDescent="0.45">
      <c r="A228" t="s">
        <v>18</v>
      </c>
      <c r="B228" t="s">
        <v>19</v>
      </c>
      <c r="C228">
        <v>2023</v>
      </c>
      <c r="D228" t="s">
        <v>27</v>
      </c>
      <c r="E228" t="s">
        <v>20</v>
      </c>
      <c r="F228">
        <v>1413</v>
      </c>
      <c r="G228">
        <v>54.79</v>
      </c>
      <c r="H228">
        <v>50.42</v>
      </c>
      <c r="I228">
        <v>155</v>
      </c>
      <c r="J228" t="s">
        <v>17</v>
      </c>
      <c r="K228" s="14">
        <f>COUNTIFS(B:B,"Delta_Logistics",E:E,"Delivered") / COUNTIF(B:B,"Delta_Logistics")</f>
        <v>0.70175438596491224</v>
      </c>
      <c r="L228" s="15">
        <v>71243.460000000006</v>
      </c>
      <c r="M228" s="15">
        <v>6174.81</v>
      </c>
      <c r="N228" s="14">
        <f t="shared" si="6"/>
        <v>0.10969568294409059</v>
      </c>
      <c r="O228" s="1">
        <v>0.61</v>
      </c>
      <c r="P228" s="1">
        <f t="shared" si="7"/>
        <v>7.975908012411019E-2</v>
      </c>
    </row>
    <row r="229" spans="1:16" x14ac:dyDescent="0.45">
      <c r="A229" t="s">
        <v>29</v>
      </c>
      <c r="B229" t="s">
        <v>30</v>
      </c>
      <c r="C229">
        <v>2022</v>
      </c>
      <c r="D229" t="s">
        <v>26</v>
      </c>
      <c r="E229" t="s">
        <v>20</v>
      </c>
      <c r="F229">
        <v>1871</v>
      </c>
      <c r="G229">
        <v>59.96</v>
      </c>
      <c r="H229">
        <v>58.54</v>
      </c>
      <c r="I229">
        <v>47</v>
      </c>
      <c r="J229" t="s">
        <v>17</v>
      </c>
      <c r="K229" s="14">
        <f>COUNTIFS(B:B,"Epsilon_Group",E:E,"Delivered") / COUNTIF(B:B,"Epsilon_Group")</f>
        <v>0.72289156626506024</v>
      </c>
      <c r="L229" s="15">
        <v>109528.34</v>
      </c>
      <c r="M229" s="15">
        <v>2656.82</v>
      </c>
      <c r="N229" s="14">
        <f t="shared" si="6"/>
        <v>2.512025654730091E-2</v>
      </c>
      <c r="O229" s="1">
        <v>0.98</v>
      </c>
      <c r="P229" s="1">
        <f t="shared" si="7"/>
        <v>2.3682454969980015E-2</v>
      </c>
    </row>
    <row r="230" spans="1:16" x14ac:dyDescent="0.45">
      <c r="A230" t="s">
        <v>21</v>
      </c>
      <c r="B230" t="s">
        <v>22</v>
      </c>
      <c r="C230">
        <v>2023</v>
      </c>
      <c r="D230" t="s">
        <v>27</v>
      </c>
      <c r="E230" t="s">
        <v>20</v>
      </c>
      <c r="F230">
        <v>1404</v>
      </c>
      <c r="G230">
        <v>34.85</v>
      </c>
      <c r="H230">
        <v>30.5</v>
      </c>
      <c r="I230">
        <v>78</v>
      </c>
      <c r="J230" t="s">
        <v>17</v>
      </c>
      <c r="K230" s="14">
        <f>COUNTIFS(B:B,"Gamma_Co",E:E,"Delivered") / COUNTIF(B:B,"Gamma_Co")</f>
        <v>0.72027972027972031</v>
      </c>
      <c r="L230" s="15">
        <v>42822</v>
      </c>
      <c r="M230" s="15">
        <v>6107.4</v>
      </c>
      <c r="N230" s="14">
        <f t="shared" si="6"/>
        <v>5.5555555555555552E-2</v>
      </c>
      <c r="O230" s="1">
        <v>0.86</v>
      </c>
      <c r="P230" s="1">
        <f t="shared" si="7"/>
        <v>0.12482065997130563</v>
      </c>
    </row>
    <row r="231" spans="1:16" x14ac:dyDescent="0.45">
      <c r="A231" t="s">
        <v>21</v>
      </c>
      <c r="B231" t="s">
        <v>22</v>
      </c>
      <c r="C231">
        <v>2022</v>
      </c>
      <c r="D231" t="s">
        <v>33</v>
      </c>
      <c r="E231" t="s">
        <v>20</v>
      </c>
      <c r="F231">
        <v>1713</v>
      </c>
      <c r="G231">
        <v>35.43</v>
      </c>
      <c r="H231">
        <v>34.11</v>
      </c>
      <c r="I231">
        <v>74</v>
      </c>
      <c r="J231" t="s">
        <v>17</v>
      </c>
      <c r="K231" s="14">
        <f>COUNTIFS(B:B,"Gamma_Co",E:E,"Delivered") / COUNTIF(B:B,"Gamma_Co")</f>
        <v>0.72027972027972031</v>
      </c>
      <c r="L231" s="15">
        <v>58430.43</v>
      </c>
      <c r="M231" s="15">
        <v>2261.16</v>
      </c>
      <c r="N231" s="14">
        <f t="shared" si="6"/>
        <v>4.3199065966141273E-2</v>
      </c>
      <c r="O231" s="1">
        <v>0.86</v>
      </c>
      <c r="P231" s="1">
        <f t="shared" si="7"/>
        <v>3.7256562235393739E-2</v>
      </c>
    </row>
    <row r="232" spans="1:16" x14ac:dyDescent="0.45">
      <c r="A232" t="s">
        <v>21</v>
      </c>
      <c r="B232" t="s">
        <v>22</v>
      </c>
      <c r="C232">
        <v>2022</v>
      </c>
      <c r="D232" t="s">
        <v>33</v>
      </c>
      <c r="E232" t="s">
        <v>20</v>
      </c>
      <c r="F232">
        <v>1579</v>
      </c>
      <c r="G232">
        <v>43.96</v>
      </c>
      <c r="H232">
        <v>43.41</v>
      </c>
      <c r="I232">
        <v>74</v>
      </c>
      <c r="J232" t="s">
        <v>17</v>
      </c>
      <c r="K232" s="14">
        <f>COUNTIFS(B:B,"Gamma_Co",E:E,"Delivered") / COUNTIF(B:B,"Gamma_Co")</f>
        <v>0.72027972027972031</v>
      </c>
      <c r="L232" s="15">
        <v>68544.39</v>
      </c>
      <c r="M232" s="15">
        <v>868.45</v>
      </c>
      <c r="N232" s="14">
        <f t="shared" si="6"/>
        <v>4.6865104496516784E-2</v>
      </c>
      <c r="O232" s="1">
        <v>0.86</v>
      </c>
      <c r="P232" s="1">
        <f t="shared" si="7"/>
        <v>1.2511373976342227E-2</v>
      </c>
    </row>
    <row r="233" spans="1:16" x14ac:dyDescent="0.45">
      <c r="A233" t="s">
        <v>21</v>
      </c>
      <c r="B233" t="s">
        <v>22</v>
      </c>
      <c r="C233">
        <v>2022</v>
      </c>
      <c r="D233" t="s">
        <v>33</v>
      </c>
      <c r="E233" t="s">
        <v>20</v>
      </c>
      <c r="F233">
        <v>1421</v>
      </c>
      <c r="G233">
        <v>11.92</v>
      </c>
      <c r="H233">
        <v>11.72</v>
      </c>
      <c r="I233">
        <v>76</v>
      </c>
      <c r="J233" t="s">
        <v>17</v>
      </c>
      <c r="K233" s="14">
        <f>COUNTIFS(B:B,"Gamma_Co",E:E,"Delivered") / COUNTIF(B:B,"Gamma_Co")</f>
        <v>0.72027972027972031</v>
      </c>
      <c r="L233" s="15">
        <v>16654.12</v>
      </c>
      <c r="M233" s="15">
        <v>284.2</v>
      </c>
      <c r="N233" s="14">
        <f t="shared" si="6"/>
        <v>5.3483462350457422E-2</v>
      </c>
      <c r="O233" s="1">
        <v>0.86</v>
      </c>
      <c r="P233" s="1">
        <f t="shared" si="7"/>
        <v>1.6778523489932827E-2</v>
      </c>
    </row>
    <row r="234" spans="1:16" x14ac:dyDescent="0.45">
      <c r="A234" t="s">
        <v>29</v>
      </c>
      <c r="B234" t="s">
        <v>30</v>
      </c>
      <c r="C234">
        <v>2023</v>
      </c>
      <c r="D234" t="s">
        <v>23</v>
      </c>
      <c r="E234" t="s">
        <v>20</v>
      </c>
      <c r="F234">
        <v>1546</v>
      </c>
      <c r="G234">
        <v>43.47</v>
      </c>
      <c r="H234">
        <v>37.369999999999997</v>
      </c>
      <c r="I234">
        <v>53</v>
      </c>
      <c r="J234" t="s">
        <v>17</v>
      </c>
      <c r="K234" s="14">
        <f>COUNTIFS(B:B,"Epsilon_Group",E:E,"Delivered") / COUNTIF(B:B,"Epsilon_Group")</f>
        <v>0.72289156626506024</v>
      </c>
      <c r="L234" s="15">
        <v>57774.02</v>
      </c>
      <c r="M234" s="15">
        <v>9430.6</v>
      </c>
      <c r="N234" s="14">
        <f t="shared" si="6"/>
        <v>3.428201811125485E-2</v>
      </c>
      <c r="O234" s="1">
        <v>0.98</v>
      </c>
      <c r="P234" s="1">
        <f t="shared" si="7"/>
        <v>0.14032666206579253</v>
      </c>
    </row>
    <row r="235" spans="1:16" x14ac:dyDescent="0.45">
      <c r="A235" t="s">
        <v>18</v>
      </c>
      <c r="B235" t="s">
        <v>19</v>
      </c>
      <c r="C235">
        <v>2023</v>
      </c>
      <c r="D235" t="s">
        <v>33</v>
      </c>
      <c r="E235" t="s">
        <v>20</v>
      </c>
      <c r="F235">
        <v>1304</v>
      </c>
      <c r="G235">
        <v>32.08</v>
      </c>
      <c r="H235">
        <v>29.36</v>
      </c>
      <c r="I235">
        <v>155</v>
      </c>
      <c r="J235" t="s">
        <v>17</v>
      </c>
      <c r="K235" s="14">
        <f>COUNTIFS(B:B,"Delta_Logistics",E:E,"Delivered") / COUNTIF(B:B,"Delta_Logistics")</f>
        <v>0.70175438596491224</v>
      </c>
      <c r="L235" s="15">
        <v>38285.440000000002</v>
      </c>
      <c r="M235" s="15">
        <v>3546.88</v>
      </c>
      <c r="N235" s="14">
        <f t="shared" si="6"/>
        <v>0.11886503067484662</v>
      </c>
      <c r="O235" s="1">
        <v>0.61</v>
      </c>
      <c r="P235" s="1">
        <f t="shared" si="7"/>
        <v>8.4788029925186997E-2</v>
      </c>
    </row>
    <row r="236" spans="1:16" x14ac:dyDescent="0.45">
      <c r="A236" t="s">
        <v>18</v>
      </c>
      <c r="B236" t="s">
        <v>19</v>
      </c>
      <c r="C236">
        <v>2022</v>
      </c>
      <c r="D236" t="s">
        <v>27</v>
      </c>
      <c r="E236" t="s">
        <v>20</v>
      </c>
      <c r="F236">
        <v>239</v>
      </c>
      <c r="G236">
        <v>39.869999999999997</v>
      </c>
      <c r="H236">
        <v>35.47</v>
      </c>
      <c r="I236">
        <v>32</v>
      </c>
      <c r="J236" t="s">
        <v>17</v>
      </c>
      <c r="K236" s="14">
        <f>COUNTIFS(B:B,"Delta_Logistics",E:E,"Delivered") / COUNTIF(B:B,"Delta_Logistics")</f>
        <v>0.70175438596491224</v>
      </c>
      <c r="L236" s="15">
        <v>8477.33</v>
      </c>
      <c r="M236" s="15">
        <v>1051.5999999999999</v>
      </c>
      <c r="N236" s="14">
        <f t="shared" si="6"/>
        <v>0.13389121338912133</v>
      </c>
      <c r="O236" s="1">
        <v>0.61</v>
      </c>
      <c r="P236" s="1">
        <f t="shared" si="7"/>
        <v>0.11035866566340605</v>
      </c>
    </row>
    <row r="237" spans="1:16" x14ac:dyDescent="0.45">
      <c r="A237" t="s">
        <v>13</v>
      </c>
      <c r="B237" t="s">
        <v>14</v>
      </c>
      <c r="C237">
        <v>2022</v>
      </c>
      <c r="D237" t="s">
        <v>15</v>
      </c>
      <c r="E237" t="s">
        <v>20</v>
      </c>
      <c r="F237">
        <v>1298</v>
      </c>
      <c r="G237">
        <v>21.51</v>
      </c>
      <c r="H237">
        <v>20.83</v>
      </c>
      <c r="I237">
        <v>24</v>
      </c>
      <c r="J237" t="s">
        <v>17</v>
      </c>
      <c r="K237" s="14">
        <f>COUNTIFS(B:B,"Alpha_Inc",E:E,"Delivered")/COUNTIF(B:B,"Alpha_Inc")</f>
        <v>0.75886524822695034</v>
      </c>
      <c r="L237" s="15">
        <v>27037.34</v>
      </c>
      <c r="M237" s="15">
        <v>882.64</v>
      </c>
      <c r="N237" s="14">
        <f t="shared" si="6"/>
        <v>1.8489984591679508E-2</v>
      </c>
      <c r="O237" s="1">
        <v>0.94</v>
      </c>
      <c r="P237" s="1">
        <f t="shared" si="7"/>
        <v>3.1613203161320463E-2</v>
      </c>
    </row>
    <row r="238" spans="1:16" x14ac:dyDescent="0.45">
      <c r="A238" t="s">
        <v>18</v>
      </c>
      <c r="B238" t="s">
        <v>19</v>
      </c>
      <c r="C238">
        <v>2022</v>
      </c>
      <c r="D238" t="s">
        <v>23</v>
      </c>
      <c r="E238" t="s">
        <v>20</v>
      </c>
      <c r="F238">
        <v>1458</v>
      </c>
      <c r="G238">
        <v>91.05</v>
      </c>
      <c r="H238">
        <v>81.56</v>
      </c>
      <c r="I238">
        <v>220</v>
      </c>
      <c r="J238" t="s">
        <v>17</v>
      </c>
      <c r="K238" s="14">
        <f>COUNTIFS(B:B,"Delta_Logistics",E:E,"Delivered") / COUNTIF(B:B,"Delta_Logistics")</f>
        <v>0.70175438596491224</v>
      </c>
      <c r="L238" s="15">
        <v>118914.48</v>
      </c>
      <c r="M238" s="15">
        <v>13836.42</v>
      </c>
      <c r="N238" s="14">
        <f t="shared" si="6"/>
        <v>0.15089163237311384</v>
      </c>
      <c r="O238" s="1">
        <v>0.61</v>
      </c>
      <c r="P238" s="1">
        <f t="shared" si="7"/>
        <v>0.10422844590884124</v>
      </c>
    </row>
    <row r="239" spans="1:16" x14ac:dyDescent="0.45">
      <c r="A239" t="s">
        <v>21</v>
      </c>
      <c r="B239" t="s">
        <v>22</v>
      </c>
      <c r="C239">
        <v>2022</v>
      </c>
      <c r="D239" t="s">
        <v>23</v>
      </c>
      <c r="E239" t="s">
        <v>20</v>
      </c>
      <c r="F239">
        <v>1450</v>
      </c>
      <c r="G239">
        <v>63.74</v>
      </c>
      <c r="H239">
        <v>59.11</v>
      </c>
      <c r="I239">
        <v>71</v>
      </c>
      <c r="J239" t="s">
        <v>17</v>
      </c>
      <c r="K239" s="14">
        <f>COUNTIFS(B:B,"Gamma_Co",E:E,"Delivered") / COUNTIF(B:B,"Gamma_Co")</f>
        <v>0.72027972027972031</v>
      </c>
      <c r="L239" s="15">
        <v>85709.5</v>
      </c>
      <c r="M239" s="15">
        <v>6713.5</v>
      </c>
      <c r="N239" s="14">
        <f t="shared" si="6"/>
        <v>4.8965517241379312E-2</v>
      </c>
      <c r="O239" s="1">
        <v>0.86</v>
      </c>
      <c r="P239" s="1">
        <f t="shared" si="7"/>
        <v>7.2638845309068126E-2</v>
      </c>
    </row>
    <row r="240" spans="1:16" x14ac:dyDescent="0.45">
      <c r="A240" t="s">
        <v>24</v>
      </c>
      <c r="B240" t="s">
        <v>25</v>
      </c>
      <c r="C240">
        <v>2022</v>
      </c>
      <c r="D240" t="s">
        <v>33</v>
      </c>
      <c r="E240" t="s">
        <v>20</v>
      </c>
      <c r="F240">
        <v>1356</v>
      </c>
      <c r="G240">
        <v>75.03</v>
      </c>
      <c r="H240">
        <v>63.86</v>
      </c>
      <c r="I240">
        <v>131</v>
      </c>
      <c r="J240" t="s">
        <v>17</v>
      </c>
      <c r="K240" s="14">
        <f>COUNTIFS(B:B,"Beta_Supplies",E:E,"Delivered") / COUNTIF(B:B,"Beta_Supplies")</f>
        <v>0.70512820512820518</v>
      </c>
      <c r="L240" s="15">
        <v>86594.16</v>
      </c>
      <c r="M240" s="15">
        <v>15146.52</v>
      </c>
      <c r="N240" s="14">
        <f t="shared" si="6"/>
        <v>9.6607669616519176E-2</v>
      </c>
      <c r="O240" s="1">
        <v>0.76</v>
      </c>
      <c r="P240" s="1">
        <f t="shared" si="7"/>
        <v>0.14887378381980543</v>
      </c>
    </row>
    <row r="241" spans="1:16" x14ac:dyDescent="0.45">
      <c r="A241" t="s">
        <v>21</v>
      </c>
      <c r="B241" t="s">
        <v>22</v>
      </c>
      <c r="C241">
        <v>2022</v>
      </c>
      <c r="D241" t="s">
        <v>26</v>
      </c>
      <c r="E241" t="s">
        <v>20</v>
      </c>
      <c r="F241">
        <v>682</v>
      </c>
      <c r="G241">
        <v>81.84</v>
      </c>
      <c r="H241">
        <v>71.86</v>
      </c>
      <c r="I241">
        <v>40</v>
      </c>
      <c r="J241" t="s">
        <v>17</v>
      </c>
      <c r="K241" s="14">
        <f>COUNTIFS(B:B,"Gamma_Co",E:E,"Delivered") / COUNTIF(B:B,"Gamma_Co")</f>
        <v>0.72027972027972031</v>
      </c>
      <c r="L241" s="15">
        <v>49008.52</v>
      </c>
      <c r="M241" s="15">
        <v>6806.36</v>
      </c>
      <c r="N241" s="14">
        <f t="shared" si="6"/>
        <v>5.865102639296188E-2</v>
      </c>
      <c r="O241" s="1">
        <v>0.86</v>
      </c>
      <c r="P241" s="1">
        <f t="shared" si="7"/>
        <v>0.12194525904203328</v>
      </c>
    </row>
    <row r="242" spans="1:16" x14ac:dyDescent="0.45">
      <c r="A242" t="s">
        <v>21</v>
      </c>
      <c r="B242" t="s">
        <v>22</v>
      </c>
      <c r="C242">
        <v>2023</v>
      </c>
      <c r="D242" t="s">
        <v>26</v>
      </c>
      <c r="E242" t="s">
        <v>20</v>
      </c>
      <c r="F242">
        <v>677</v>
      </c>
      <c r="G242">
        <v>59.52</v>
      </c>
      <c r="H242">
        <v>55.29</v>
      </c>
      <c r="I242">
        <v>39</v>
      </c>
      <c r="J242" t="s">
        <v>17</v>
      </c>
      <c r="K242" s="14">
        <f>COUNTIFS(B:B,"Gamma_Co",E:E,"Delivered") / COUNTIF(B:B,"Gamma_Co")</f>
        <v>0.72027972027972031</v>
      </c>
      <c r="L242" s="15">
        <v>37431.33</v>
      </c>
      <c r="M242" s="15">
        <v>2863.71</v>
      </c>
      <c r="N242" s="14">
        <f t="shared" si="6"/>
        <v>5.7607090103397339E-2</v>
      </c>
      <c r="O242" s="1">
        <v>0.86</v>
      </c>
      <c r="P242" s="1">
        <f t="shared" si="7"/>
        <v>7.1068548387096836E-2</v>
      </c>
    </row>
    <row r="243" spans="1:16" x14ac:dyDescent="0.45">
      <c r="A243" t="s">
        <v>18</v>
      </c>
      <c r="B243" t="s">
        <v>19</v>
      </c>
      <c r="C243">
        <v>2022</v>
      </c>
      <c r="D243" t="s">
        <v>15</v>
      </c>
      <c r="E243" t="s">
        <v>20</v>
      </c>
      <c r="F243">
        <v>1022</v>
      </c>
      <c r="G243">
        <v>18.54</v>
      </c>
      <c r="H243">
        <v>16.55</v>
      </c>
      <c r="I243">
        <v>150</v>
      </c>
      <c r="J243" t="s">
        <v>17</v>
      </c>
      <c r="K243" s="14">
        <f>COUNTIFS(B:B,"Delta_Logistics",E:E,"Delivered") / COUNTIF(B:B,"Delta_Logistics")</f>
        <v>0.70175438596491224</v>
      </c>
      <c r="L243" s="15">
        <v>16914.099999999999</v>
      </c>
      <c r="M243" s="15">
        <v>2033.78</v>
      </c>
      <c r="N243" s="14">
        <f t="shared" si="6"/>
        <v>0.14677103718199608</v>
      </c>
      <c r="O243" s="1">
        <v>0.61</v>
      </c>
      <c r="P243" s="1">
        <f t="shared" si="7"/>
        <v>0.10733549083063638</v>
      </c>
    </row>
    <row r="244" spans="1:16" x14ac:dyDescent="0.45">
      <c r="A244" t="s">
        <v>13</v>
      </c>
      <c r="B244" t="s">
        <v>14</v>
      </c>
      <c r="C244">
        <v>2022</v>
      </c>
      <c r="D244" t="s">
        <v>27</v>
      </c>
      <c r="E244" t="s">
        <v>20</v>
      </c>
      <c r="F244">
        <v>1818</v>
      </c>
      <c r="G244">
        <v>60.96</v>
      </c>
      <c r="H244">
        <v>57.13</v>
      </c>
      <c r="I244">
        <v>41</v>
      </c>
      <c r="J244" t="s">
        <v>17</v>
      </c>
      <c r="K244" s="14">
        <f>COUNTIFS(B:B,"Alpha_Inc",E:E,"Delivered")/COUNTIF(B:B,"Alpha_Inc")</f>
        <v>0.75886524822695034</v>
      </c>
      <c r="L244" s="15">
        <v>103862.34</v>
      </c>
      <c r="M244" s="15">
        <v>6962.94</v>
      </c>
      <c r="N244" s="14">
        <f t="shared" si="6"/>
        <v>2.2552255225522552E-2</v>
      </c>
      <c r="O244" s="1">
        <v>0.94</v>
      </c>
      <c r="P244" s="1">
        <f t="shared" si="7"/>
        <v>6.2828083989501279E-2</v>
      </c>
    </row>
    <row r="245" spans="1:16" x14ac:dyDescent="0.45">
      <c r="A245" t="s">
        <v>29</v>
      </c>
      <c r="B245" t="s">
        <v>30</v>
      </c>
      <c r="C245">
        <v>2023</v>
      </c>
      <c r="D245" t="s">
        <v>33</v>
      </c>
      <c r="E245" t="s">
        <v>20</v>
      </c>
      <c r="F245">
        <v>1332</v>
      </c>
      <c r="G245">
        <v>69.73</v>
      </c>
      <c r="H245">
        <v>63.8</v>
      </c>
      <c r="I245">
        <v>41</v>
      </c>
      <c r="J245" t="s">
        <v>17</v>
      </c>
      <c r="K245" s="14">
        <f>COUNTIFS(B:B,"Epsilon_Group",E:E,"Delivered") / COUNTIF(B:B,"Epsilon_Group")</f>
        <v>0.72289156626506024</v>
      </c>
      <c r="L245" s="15">
        <v>84981.6</v>
      </c>
      <c r="M245" s="15">
        <v>7898.76</v>
      </c>
      <c r="N245" s="14">
        <f t="shared" si="6"/>
        <v>3.0780780780780781E-2</v>
      </c>
      <c r="O245" s="1">
        <v>0.98</v>
      </c>
      <c r="P245" s="1">
        <f t="shared" si="7"/>
        <v>8.5042306037573595E-2</v>
      </c>
    </row>
    <row r="246" spans="1:16" x14ac:dyDescent="0.45">
      <c r="A246" t="s">
        <v>24</v>
      </c>
      <c r="B246" t="s">
        <v>25</v>
      </c>
      <c r="C246">
        <v>2023</v>
      </c>
      <c r="D246" t="s">
        <v>27</v>
      </c>
      <c r="E246" t="s">
        <v>20</v>
      </c>
      <c r="F246">
        <v>1432</v>
      </c>
      <c r="G246">
        <v>83.26</v>
      </c>
      <c r="H246">
        <v>77.67</v>
      </c>
      <c r="I246">
        <v>174</v>
      </c>
      <c r="J246" t="s">
        <v>17</v>
      </c>
      <c r="K246" s="14">
        <f>COUNTIFS(B:B,"Beta_Supplies",E:E,"Delivered") / COUNTIF(B:B,"Beta_Supplies")</f>
        <v>0.70512820512820518</v>
      </c>
      <c r="L246" s="15">
        <v>111223.44</v>
      </c>
      <c r="M246" s="15">
        <v>8004.88</v>
      </c>
      <c r="N246" s="14">
        <f t="shared" si="6"/>
        <v>0.12150837988826815</v>
      </c>
      <c r="O246" s="1">
        <v>0.76</v>
      </c>
      <c r="P246" s="1">
        <f t="shared" si="7"/>
        <v>6.7139082392505448E-2</v>
      </c>
    </row>
    <row r="247" spans="1:16" x14ac:dyDescent="0.45">
      <c r="A247" t="s">
        <v>24</v>
      </c>
      <c r="B247" t="s">
        <v>25</v>
      </c>
      <c r="C247">
        <v>2022</v>
      </c>
      <c r="D247" t="s">
        <v>26</v>
      </c>
      <c r="E247" t="s">
        <v>32</v>
      </c>
      <c r="F247">
        <v>759</v>
      </c>
      <c r="G247">
        <v>50.56</v>
      </c>
      <c r="H247">
        <v>46.47</v>
      </c>
      <c r="I247">
        <v>63</v>
      </c>
      <c r="J247" t="s">
        <v>28</v>
      </c>
      <c r="K247" s="14">
        <f>COUNTIFS(B:B,"Beta_Supplies",E:E,"Pending") / COUNTIF(B:B,"Beta_Supplies")</f>
        <v>0.12179487179487179</v>
      </c>
      <c r="L247" s="15">
        <v>35270.730000000003</v>
      </c>
      <c r="M247" s="15">
        <v>3104.31</v>
      </c>
      <c r="N247" s="14">
        <f t="shared" si="6"/>
        <v>8.3003952569169967E-2</v>
      </c>
      <c r="O247" s="1">
        <v>0.24</v>
      </c>
      <c r="P247" s="1">
        <f t="shared" si="7"/>
        <v>8.0893987341772222E-2</v>
      </c>
    </row>
    <row r="248" spans="1:16" x14ac:dyDescent="0.45">
      <c r="A248" t="s">
        <v>13</v>
      </c>
      <c r="B248" t="s">
        <v>14</v>
      </c>
      <c r="C248">
        <v>2023</v>
      </c>
      <c r="D248" t="s">
        <v>26</v>
      </c>
      <c r="E248" t="s">
        <v>20</v>
      </c>
      <c r="F248">
        <v>1529</v>
      </c>
      <c r="G248">
        <v>23.42</v>
      </c>
      <c r="H248">
        <v>22.44</v>
      </c>
      <c r="I248">
        <v>30</v>
      </c>
      <c r="J248" t="s">
        <v>17</v>
      </c>
      <c r="K248" s="14">
        <f>COUNTIFS(B:B,"Alpha_Inc",E:E,"Delivered")/COUNTIF(B:B,"Alpha_Inc")</f>
        <v>0.75886524822695034</v>
      </c>
      <c r="L248" s="15">
        <v>34310.76</v>
      </c>
      <c r="M248" s="15">
        <v>1498.42</v>
      </c>
      <c r="N248" s="14">
        <f t="shared" si="6"/>
        <v>1.962066710268149E-2</v>
      </c>
      <c r="O248" s="1">
        <v>0.94</v>
      </c>
      <c r="P248" s="1">
        <f t="shared" si="7"/>
        <v>4.1844577284372346E-2</v>
      </c>
    </row>
    <row r="249" spans="1:16" x14ac:dyDescent="0.45">
      <c r="A249" t="s">
        <v>21</v>
      </c>
      <c r="B249" t="s">
        <v>22</v>
      </c>
      <c r="C249">
        <v>2022</v>
      </c>
      <c r="D249" t="s">
        <v>33</v>
      </c>
      <c r="E249" t="s">
        <v>20</v>
      </c>
      <c r="F249">
        <v>1484</v>
      </c>
      <c r="G249">
        <v>36.25</v>
      </c>
      <c r="H249">
        <v>31.8</v>
      </c>
      <c r="I249">
        <v>61</v>
      </c>
      <c r="J249" t="s">
        <v>17</v>
      </c>
      <c r="K249" s="14">
        <f>COUNTIFS(B:B,"Gamma_Co",E:E,"Delivered") / COUNTIF(B:B,"Gamma_Co")</f>
        <v>0.72027972027972031</v>
      </c>
      <c r="L249" s="15">
        <v>47191.199999999997</v>
      </c>
      <c r="M249" s="15">
        <v>6603.8</v>
      </c>
      <c r="N249" s="14">
        <f t="shared" si="6"/>
        <v>4.1105121293800541E-2</v>
      </c>
      <c r="O249" s="1">
        <v>0.86</v>
      </c>
      <c r="P249" s="1">
        <f t="shared" si="7"/>
        <v>0.12275862068965515</v>
      </c>
    </row>
    <row r="250" spans="1:16" x14ac:dyDescent="0.45">
      <c r="A250" t="s">
        <v>29</v>
      </c>
      <c r="B250" t="s">
        <v>30</v>
      </c>
      <c r="C250">
        <v>2023</v>
      </c>
      <c r="D250" t="s">
        <v>26</v>
      </c>
      <c r="E250" t="s">
        <v>20</v>
      </c>
      <c r="F250">
        <v>698</v>
      </c>
      <c r="G250">
        <v>46.73</v>
      </c>
      <c r="H250">
        <v>45.61</v>
      </c>
      <c r="I250">
        <v>15</v>
      </c>
      <c r="J250" t="s">
        <v>17</v>
      </c>
      <c r="K250" s="14">
        <f>COUNTIFS(B:B,"Epsilon_Group",E:E,"Delivered") / COUNTIF(B:B,"Epsilon_Group")</f>
        <v>0.72289156626506024</v>
      </c>
      <c r="L250" s="15">
        <v>31835.78</v>
      </c>
      <c r="M250" s="15">
        <v>781.76</v>
      </c>
      <c r="N250" s="14">
        <f t="shared" si="6"/>
        <v>2.148997134670487E-2</v>
      </c>
      <c r="O250" s="1">
        <v>0.98</v>
      </c>
      <c r="P250" s="1">
        <f t="shared" si="7"/>
        <v>2.3967472715600204E-2</v>
      </c>
    </row>
    <row r="251" spans="1:16" x14ac:dyDescent="0.45">
      <c r="A251" t="s">
        <v>29</v>
      </c>
      <c r="B251" t="s">
        <v>30</v>
      </c>
      <c r="C251">
        <v>2023</v>
      </c>
      <c r="D251" t="s">
        <v>26</v>
      </c>
      <c r="E251" t="s">
        <v>32</v>
      </c>
      <c r="F251">
        <v>367</v>
      </c>
      <c r="G251">
        <v>74.61</v>
      </c>
      <c r="H251">
        <v>71.36</v>
      </c>
      <c r="I251">
        <v>13</v>
      </c>
      <c r="J251" t="s">
        <v>17</v>
      </c>
      <c r="K251" s="14">
        <f>COUNTIFS(B:B,"Epsilon_Group",E:E,"Pending") / COUNTIF(B:B,"Epsilon_Group")</f>
        <v>0.10843373493975904</v>
      </c>
      <c r="L251" s="15">
        <v>26189.119999999999</v>
      </c>
      <c r="M251" s="15">
        <v>1192.75</v>
      </c>
      <c r="N251" s="14">
        <f t="shared" si="6"/>
        <v>3.5422343324250684E-2</v>
      </c>
      <c r="O251" s="1">
        <v>0.98</v>
      </c>
      <c r="P251" s="1">
        <f t="shared" si="7"/>
        <v>4.3559844524862619E-2</v>
      </c>
    </row>
    <row r="252" spans="1:16" x14ac:dyDescent="0.45">
      <c r="A252" t="s">
        <v>29</v>
      </c>
      <c r="B252" t="s">
        <v>30</v>
      </c>
      <c r="C252">
        <v>2023</v>
      </c>
      <c r="D252" t="s">
        <v>15</v>
      </c>
      <c r="E252" t="s">
        <v>31</v>
      </c>
      <c r="F252">
        <v>1750</v>
      </c>
      <c r="G252">
        <v>65.97</v>
      </c>
      <c r="H252">
        <v>58.34</v>
      </c>
      <c r="I252">
        <v>50</v>
      </c>
      <c r="J252" t="s">
        <v>17</v>
      </c>
      <c r="K252" s="14">
        <f>COUNTIFS(B:B,"Epsilon_Group",E:E,"Partially Delivered") / COUNTIF(B:B,"Epsilon_Group")</f>
        <v>8.4337349397590355E-2</v>
      </c>
      <c r="L252" s="15">
        <v>102095</v>
      </c>
      <c r="M252" s="15">
        <v>13352.5</v>
      </c>
      <c r="N252" s="14">
        <f t="shared" si="6"/>
        <v>2.8571428571428571E-2</v>
      </c>
      <c r="O252" s="1">
        <v>0.98</v>
      </c>
      <c r="P252" s="1">
        <f t="shared" si="7"/>
        <v>0.11565863271183864</v>
      </c>
    </row>
    <row r="253" spans="1:16" x14ac:dyDescent="0.45">
      <c r="A253" t="s">
        <v>18</v>
      </c>
      <c r="B253" t="s">
        <v>19</v>
      </c>
      <c r="C253">
        <v>2022</v>
      </c>
      <c r="D253" t="s">
        <v>15</v>
      </c>
      <c r="E253" t="s">
        <v>31</v>
      </c>
      <c r="F253">
        <v>1298</v>
      </c>
      <c r="G253">
        <v>43.73</v>
      </c>
      <c r="H253">
        <v>37.21</v>
      </c>
      <c r="I253">
        <v>155</v>
      </c>
      <c r="J253" t="s">
        <v>28</v>
      </c>
      <c r="K253" s="14">
        <f>COUNTIFS(B:B,"Delta_Logistics",E:E,"Partially Delivered") / COUNTIF(B:B,"Delta_Logistics")</f>
        <v>0.10526315789473684</v>
      </c>
      <c r="L253" s="15">
        <v>48298.58</v>
      </c>
      <c r="M253" s="15">
        <v>8462.9599999999991</v>
      </c>
      <c r="N253" s="14">
        <f t="shared" si="6"/>
        <v>0.11941448382126348</v>
      </c>
      <c r="O253" s="1">
        <v>0.39</v>
      </c>
      <c r="P253" s="1">
        <f t="shared" si="7"/>
        <v>0.14909672993368389</v>
      </c>
    </row>
    <row r="254" spans="1:16" x14ac:dyDescent="0.45">
      <c r="A254" t="s">
        <v>21</v>
      </c>
      <c r="B254" t="s">
        <v>22</v>
      </c>
      <c r="C254">
        <v>2023</v>
      </c>
      <c r="D254" t="s">
        <v>26</v>
      </c>
      <c r="E254" t="s">
        <v>20</v>
      </c>
      <c r="F254">
        <v>1892</v>
      </c>
      <c r="G254">
        <v>106.2</v>
      </c>
      <c r="H254">
        <v>96.37</v>
      </c>
      <c r="I254">
        <v>93</v>
      </c>
      <c r="J254" t="s">
        <v>17</v>
      </c>
      <c r="K254" s="14">
        <f>COUNTIFS(B:B,"Gamma_Co",E:E,"Delivered") / COUNTIF(B:B,"Gamma_Co")</f>
        <v>0.72027972027972031</v>
      </c>
      <c r="L254" s="15">
        <v>182332.04</v>
      </c>
      <c r="M254" s="15">
        <v>18598.36</v>
      </c>
      <c r="N254" s="14">
        <f t="shared" si="6"/>
        <v>4.915433403805497E-2</v>
      </c>
      <c r="O254" s="1">
        <v>0.86</v>
      </c>
      <c r="P254" s="1">
        <f t="shared" si="7"/>
        <v>9.2561205273069658E-2</v>
      </c>
    </row>
    <row r="255" spans="1:16" x14ac:dyDescent="0.45">
      <c r="A255" t="s">
        <v>24</v>
      </c>
      <c r="B255" t="s">
        <v>25</v>
      </c>
      <c r="C255">
        <v>2023</v>
      </c>
      <c r="D255" t="s">
        <v>33</v>
      </c>
      <c r="E255" t="s">
        <v>20</v>
      </c>
      <c r="F255">
        <v>1307</v>
      </c>
      <c r="G255">
        <v>68.709999999999994</v>
      </c>
      <c r="H255">
        <v>60.64</v>
      </c>
      <c r="I255">
        <v>141</v>
      </c>
      <c r="J255" t="s">
        <v>17</v>
      </c>
      <c r="K255" s="14">
        <f>COUNTIFS(B:B,"Beta_Supplies",E:E,"Delivered") / COUNTIF(B:B,"Beta_Supplies")</f>
        <v>0.70512820512820518</v>
      </c>
      <c r="L255" s="15">
        <v>79256.479999999996</v>
      </c>
      <c r="M255" s="15">
        <v>10547.49</v>
      </c>
      <c r="N255" s="14">
        <f t="shared" si="6"/>
        <v>0.10788064269319052</v>
      </c>
      <c r="O255" s="1">
        <v>0.76</v>
      </c>
      <c r="P255" s="1">
        <f t="shared" si="7"/>
        <v>0.11745015281618387</v>
      </c>
    </row>
    <row r="256" spans="1:16" x14ac:dyDescent="0.45">
      <c r="A256" t="s">
        <v>24</v>
      </c>
      <c r="B256" t="s">
        <v>25</v>
      </c>
      <c r="C256">
        <v>2022</v>
      </c>
      <c r="D256" t="s">
        <v>33</v>
      </c>
      <c r="E256" t="s">
        <v>20</v>
      </c>
      <c r="F256">
        <v>733</v>
      </c>
      <c r="G256">
        <v>32.29</v>
      </c>
      <c r="H256">
        <v>29.01</v>
      </c>
      <c r="I256">
        <v>78</v>
      </c>
      <c r="J256" t="s">
        <v>17</v>
      </c>
      <c r="K256" s="14">
        <f>COUNTIFS(B:B,"Beta_Supplies",E:E,"Delivered") / COUNTIF(B:B,"Beta_Supplies")</f>
        <v>0.70512820512820518</v>
      </c>
      <c r="L256" s="15">
        <v>21264.33</v>
      </c>
      <c r="M256" s="15">
        <v>2404.2399999999998</v>
      </c>
      <c r="N256" s="14">
        <f t="shared" si="6"/>
        <v>0.10641200545702592</v>
      </c>
      <c r="O256" s="1">
        <v>0.76</v>
      </c>
      <c r="P256" s="1">
        <f t="shared" si="7"/>
        <v>0.1015794363580055</v>
      </c>
    </row>
    <row r="257" spans="1:16" x14ac:dyDescent="0.45">
      <c r="A257" t="s">
        <v>21</v>
      </c>
      <c r="B257" t="s">
        <v>22</v>
      </c>
      <c r="C257">
        <v>2022</v>
      </c>
      <c r="D257" t="s">
        <v>26</v>
      </c>
      <c r="E257" t="s">
        <v>20</v>
      </c>
      <c r="F257">
        <v>713</v>
      </c>
      <c r="G257">
        <v>19.45</v>
      </c>
      <c r="H257">
        <v>18.82</v>
      </c>
      <c r="I257">
        <v>31</v>
      </c>
      <c r="J257" t="s">
        <v>17</v>
      </c>
      <c r="K257" s="14">
        <f>COUNTIFS(B:B,"Gamma_Co",E:E,"Delivered") / COUNTIF(B:B,"Gamma_Co")</f>
        <v>0.72027972027972031</v>
      </c>
      <c r="L257" s="15">
        <v>13418.66</v>
      </c>
      <c r="M257" s="15">
        <v>449.19</v>
      </c>
      <c r="N257" s="14">
        <f t="shared" si="6"/>
        <v>4.3478260869565216E-2</v>
      </c>
      <c r="O257" s="1">
        <v>0.86</v>
      </c>
      <c r="P257" s="1">
        <f t="shared" si="7"/>
        <v>3.2390745501285297E-2</v>
      </c>
    </row>
    <row r="258" spans="1:16" x14ac:dyDescent="0.45">
      <c r="A258" t="s">
        <v>24</v>
      </c>
      <c r="B258" t="s">
        <v>25</v>
      </c>
      <c r="C258">
        <v>2022</v>
      </c>
      <c r="D258" t="s">
        <v>26</v>
      </c>
      <c r="E258" t="s">
        <v>20</v>
      </c>
      <c r="F258">
        <v>1900</v>
      </c>
      <c r="G258">
        <v>24.11</v>
      </c>
      <c r="H258">
        <v>23.45</v>
      </c>
      <c r="I258">
        <v>188</v>
      </c>
      <c r="J258" t="s">
        <v>17</v>
      </c>
      <c r="K258" s="14">
        <f>COUNTIFS(B:B,"Beta_Supplies",E:E,"Delivered") / COUNTIF(B:B,"Beta_Supplies")</f>
        <v>0.70512820512820518</v>
      </c>
      <c r="L258" s="15">
        <v>44555</v>
      </c>
      <c r="M258" s="15">
        <v>1254</v>
      </c>
      <c r="N258" s="14">
        <f t="shared" ref="N258:N321" si="8">I258/F258</f>
        <v>9.8947368421052631E-2</v>
      </c>
      <c r="O258" s="1">
        <v>0.76</v>
      </c>
      <c r="P258" s="1">
        <f t="shared" si="7"/>
        <v>2.7374533388635429E-2</v>
      </c>
    </row>
    <row r="259" spans="1:16" x14ac:dyDescent="0.45">
      <c r="A259" t="s">
        <v>18</v>
      </c>
      <c r="B259" t="s">
        <v>19</v>
      </c>
      <c r="C259">
        <v>2023</v>
      </c>
      <c r="D259" t="s">
        <v>23</v>
      </c>
      <c r="E259" t="s">
        <v>16</v>
      </c>
      <c r="F259">
        <v>1447</v>
      </c>
      <c r="G259">
        <v>35.67</v>
      </c>
      <c r="H259">
        <v>35.07</v>
      </c>
      <c r="I259">
        <v>224</v>
      </c>
      <c r="J259" t="s">
        <v>28</v>
      </c>
      <c r="K259" s="14">
        <f>COUNTIFS(B:B,"Delta_Logistics",E:E,"Cancelled") / COUNTIF(B:B,"Delta_Logistics")</f>
        <v>9.3567251461988299E-2</v>
      </c>
      <c r="L259" s="15">
        <v>50746.29</v>
      </c>
      <c r="M259" s="15">
        <v>868.2</v>
      </c>
      <c r="N259" s="14">
        <f t="shared" si="8"/>
        <v>0.15480304077401522</v>
      </c>
      <c r="O259" s="1">
        <v>0.39</v>
      </c>
      <c r="P259" s="1">
        <f t="shared" ref="P259:P322" si="9">((G259-H259)/G259)</f>
        <v>1.682085786375109E-2</v>
      </c>
    </row>
    <row r="260" spans="1:16" x14ac:dyDescent="0.45">
      <c r="A260" t="s">
        <v>29</v>
      </c>
      <c r="B260" t="s">
        <v>30</v>
      </c>
      <c r="C260">
        <v>2023</v>
      </c>
      <c r="D260" t="s">
        <v>15</v>
      </c>
      <c r="E260" t="s">
        <v>20</v>
      </c>
      <c r="F260">
        <v>1745</v>
      </c>
      <c r="G260">
        <v>26.17</v>
      </c>
      <c r="H260">
        <v>22.25</v>
      </c>
      <c r="I260">
        <v>55</v>
      </c>
      <c r="J260" t="s">
        <v>17</v>
      </c>
      <c r="K260" s="14">
        <f>COUNTIFS(B:B,"Epsilon_Group",E:E,"Delivered") / COUNTIF(B:B,"Epsilon_Group")</f>
        <v>0.72289156626506024</v>
      </c>
      <c r="L260" s="15">
        <v>38826.25</v>
      </c>
      <c r="M260" s="15">
        <v>6840.4</v>
      </c>
      <c r="N260" s="14">
        <f t="shared" si="8"/>
        <v>3.151862464183381E-2</v>
      </c>
      <c r="O260" s="1">
        <v>0.98</v>
      </c>
      <c r="P260" s="1">
        <f t="shared" si="9"/>
        <v>0.14978983568972112</v>
      </c>
    </row>
    <row r="261" spans="1:16" x14ac:dyDescent="0.45">
      <c r="A261" t="s">
        <v>24</v>
      </c>
      <c r="B261" t="s">
        <v>25</v>
      </c>
      <c r="C261">
        <v>2022</v>
      </c>
      <c r="D261" t="s">
        <v>15</v>
      </c>
      <c r="E261" t="s">
        <v>20</v>
      </c>
      <c r="F261">
        <v>1681</v>
      </c>
      <c r="G261">
        <v>28.26</v>
      </c>
      <c r="H261">
        <v>26.62</v>
      </c>
      <c r="I261">
        <v>143</v>
      </c>
      <c r="J261" t="s">
        <v>17</v>
      </c>
      <c r="K261" s="14">
        <f>COUNTIFS(B:B,"Beta_Supplies",E:E,"Delivered") / COUNTIF(B:B,"Beta_Supplies")</f>
        <v>0.70512820512820518</v>
      </c>
      <c r="L261" s="15">
        <v>44748.22</v>
      </c>
      <c r="M261" s="15">
        <v>2756.84</v>
      </c>
      <c r="N261" s="14">
        <f t="shared" si="8"/>
        <v>8.5068411659726353E-2</v>
      </c>
      <c r="O261" s="1">
        <v>0.76</v>
      </c>
      <c r="P261" s="1">
        <f t="shared" si="9"/>
        <v>5.8032554847841492E-2</v>
      </c>
    </row>
    <row r="262" spans="1:16" x14ac:dyDescent="0.45">
      <c r="A262" t="s">
        <v>18</v>
      </c>
      <c r="B262" t="s">
        <v>19</v>
      </c>
      <c r="C262">
        <v>2023</v>
      </c>
      <c r="D262" t="s">
        <v>33</v>
      </c>
      <c r="E262" t="s">
        <v>20</v>
      </c>
      <c r="F262">
        <v>1545</v>
      </c>
      <c r="G262">
        <v>38.15</v>
      </c>
      <c r="H262">
        <v>36.96</v>
      </c>
      <c r="I262">
        <v>214</v>
      </c>
      <c r="J262" t="s">
        <v>17</v>
      </c>
      <c r="K262" s="14">
        <f>COUNTIFS(B:B,"Delta_Logistics",E:E,"Delivered") / COUNTIF(B:B,"Delta_Logistics")</f>
        <v>0.70175438596491224</v>
      </c>
      <c r="L262" s="15">
        <v>57103.199999999997</v>
      </c>
      <c r="M262" s="15">
        <v>1838.55</v>
      </c>
      <c r="N262" s="14">
        <f t="shared" si="8"/>
        <v>0.13851132686084142</v>
      </c>
      <c r="O262" s="1">
        <v>0.61</v>
      </c>
      <c r="P262" s="1">
        <f t="shared" si="9"/>
        <v>3.1192660550458658E-2</v>
      </c>
    </row>
    <row r="263" spans="1:16" x14ac:dyDescent="0.45">
      <c r="A263" t="s">
        <v>29</v>
      </c>
      <c r="B263" t="s">
        <v>30</v>
      </c>
      <c r="C263">
        <v>2023</v>
      </c>
      <c r="D263" t="s">
        <v>27</v>
      </c>
      <c r="E263" t="s">
        <v>20</v>
      </c>
      <c r="F263">
        <v>1306</v>
      </c>
      <c r="G263">
        <v>27.27</v>
      </c>
      <c r="H263">
        <v>25.96</v>
      </c>
      <c r="I263">
        <v>39</v>
      </c>
      <c r="J263" t="s">
        <v>17</v>
      </c>
      <c r="K263" s="14">
        <f>COUNTIFS(B:B,"Epsilon_Group",E:E,"Delivered") / COUNTIF(B:B,"Epsilon_Group")</f>
        <v>0.72289156626506024</v>
      </c>
      <c r="L263" s="15">
        <v>33903.760000000002</v>
      </c>
      <c r="M263" s="15">
        <v>1710.86</v>
      </c>
      <c r="N263" s="14">
        <f t="shared" si="8"/>
        <v>2.9862174578866769E-2</v>
      </c>
      <c r="O263" s="1">
        <v>0.98</v>
      </c>
      <c r="P263" s="1">
        <f t="shared" si="9"/>
        <v>4.8038137147047993E-2</v>
      </c>
    </row>
    <row r="264" spans="1:16" x14ac:dyDescent="0.45">
      <c r="A264" t="s">
        <v>21</v>
      </c>
      <c r="B264" t="s">
        <v>22</v>
      </c>
      <c r="C264">
        <v>2023</v>
      </c>
      <c r="D264" t="s">
        <v>27</v>
      </c>
      <c r="E264" t="s">
        <v>20</v>
      </c>
      <c r="F264">
        <v>1765</v>
      </c>
      <c r="G264">
        <v>97.51</v>
      </c>
      <c r="H264">
        <v>84.3</v>
      </c>
      <c r="I264">
        <v>65</v>
      </c>
      <c r="J264" t="s">
        <v>17</v>
      </c>
      <c r="K264" s="14">
        <f>COUNTIFS(B:B,"Gamma_Co",E:E,"Delivered") / COUNTIF(B:B,"Gamma_Co")</f>
        <v>0.72027972027972031</v>
      </c>
      <c r="L264" s="15">
        <v>148789.5</v>
      </c>
      <c r="M264" s="15">
        <v>23315.65</v>
      </c>
      <c r="N264" s="14">
        <f t="shared" si="8"/>
        <v>3.6827195467422094E-2</v>
      </c>
      <c r="O264" s="1">
        <v>0.86</v>
      </c>
      <c r="P264" s="1">
        <f t="shared" si="9"/>
        <v>0.13547328479130352</v>
      </c>
    </row>
    <row r="265" spans="1:16" x14ac:dyDescent="0.45">
      <c r="A265" t="s">
        <v>21</v>
      </c>
      <c r="B265" t="s">
        <v>22</v>
      </c>
      <c r="C265">
        <v>2022</v>
      </c>
      <c r="D265" t="s">
        <v>26</v>
      </c>
      <c r="E265" t="s">
        <v>16</v>
      </c>
      <c r="F265">
        <v>1186</v>
      </c>
      <c r="G265">
        <v>17.309999999999999</v>
      </c>
      <c r="H265">
        <v>16</v>
      </c>
      <c r="I265">
        <v>64</v>
      </c>
      <c r="J265" t="s">
        <v>17</v>
      </c>
      <c r="K265" s="14">
        <f>COUNTIFS(B:B,"Gamma_Co",E:E,"Cancelled") / COUNTIF(B:B,"Gamma_Co")</f>
        <v>4.195804195804196E-2</v>
      </c>
      <c r="L265" s="15">
        <v>18976</v>
      </c>
      <c r="M265" s="15">
        <v>1553.66</v>
      </c>
      <c r="N265" s="14">
        <f t="shared" si="8"/>
        <v>5.3962900505902189E-2</v>
      </c>
      <c r="O265" s="1">
        <v>0.86</v>
      </c>
      <c r="P265" s="1">
        <f t="shared" si="9"/>
        <v>7.5678798382437823E-2</v>
      </c>
    </row>
    <row r="266" spans="1:16" x14ac:dyDescent="0.45">
      <c r="A266" t="s">
        <v>18</v>
      </c>
      <c r="B266" t="s">
        <v>19</v>
      </c>
      <c r="C266">
        <v>2023</v>
      </c>
      <c r="D266" t="s">
        <v>26</v>
      </c>
      <c r="E266" t="s">
        <v>20</v>
      </c>
      <c r="F266">
        <v>1903</v>
      </c>
      <c r="G266">
        <v>63.5</v>
      </c>
      <c r="H266">
        <v>56.09</v>
      </c>
      <c r="I266">
        <v>254</v>
      </c>
      <c r="J266" t="s">
        <v>17</v>
      </c>
      <c r="K266" s="14">
        <f>COUNTIFS(B:B,"Delta_Logistics",E:E,"Delivered") / COUNTIF(B:B,"Delta_Logistics")</f>
        <v>0.70175438596491224</v>
      </c>
      <c r="L266" s="15">
        <v>106739.27</v>
      </c>
      <c r="M266" s="15">
        <v>14101.23</v>
      </c>
      <c r="N266" s="14">
        <f t="shared" si="8"/>
        <v>0.13347346295323173</v>
      </c>
      <c r="O266" s="1">
        <v>0.61</v>
      </c>
      <c r="P266" s="1">
        <f t="shared" si="9"/>
        <v>0.11669291338582671</v>
      </c>
    </row>
    <row r="267" spans="1:16" x14ac:dyDescent="0.45">
      <c r="A267" t="s">
        <v>18</v>
      </c>
      <c r="B267" t="s">
        <v>19</v>
      </c>
      <c r="C267">
        <v>2023</v>
      </c>
      <c r="D267" t="s">
        <v>23</v>
      </c>
      <c r="E267" t="s">
        <v>20</v>
      </c>
      <c r="F267">
        <v>1570</v>
      </c>
      <c r="G267">
        <v>52.1</v>
      </c>
      <c r="H267">
        <v>47.87</v>
      </c>
      <c r="I267">
        <v>155</v>
      </c>
      <c r="J267" t="s">
        <v>28</v>
      </c>
      <c r="K267" s="14">
        <f>COUNTIFS(B:B,"Delta_Logistics",E:E,"Delivered") / COUNTIF(B:B,"Delta_Logistics")</f>
        <v>0.70175438596491224</v>
      </c>
      <c r="L267" s="15">
        <v>75155.899999999994</v>
      </c>
      <c r="M267" s="15">
        <v>6641.1</v>
      </c>
      <c r="N267" s="14">
        <f t="shared" si="8"/>
        <v>9.8726114649681534E-2</v>
      </c>
      <c r="O267" s="1">
        <v>0.39</v>
      </c>
      <c r="P267" s="1">
        <f t="shared" si="9"/>
        <v>8.1190019193858043E-2</v>
      </c>
    </row>
    <row r="268" spans="1:16" x14ac:dyDescent="0.45">
      <c r="A268" t="s">
        <v>18</v>
      </c>
      <c r="B268" t="s">
        <v>19</v>
      </c>
      <c r="C268">
        <v>2023</v>
      </c>
      <c r="D268" t="s">
        <v>23</v>
      </c>
      <c r="E268" t="s">
        <v>20</v>
      </c>
      <c r="F268">
        <v>491</v>
      </c>
      <c r="G268">
        <v>108.75</v>
      </c>
      <c r="H268">
        <v>93.35</v>
      </c>
      <c r="I268">
        <v>155</v>
      </c>
      <c r="J268" t="s">
        <v>28</v>
      </c>
      <c r="K268" s="14">
        <f>COUNTIFS(B:B,"Delta_Logistics",E:E,"Delivered") / COUNTIF(B:B,"Delta_Logistics")</f>
        <v>0.70175438596491224</v>
      </c>
      <c r="L268" s="15">
        <v>45834.85</v>
      </c>
      <c r="M268" s="15">
        <v>7561.4</v>
      </c>
      <c r="N268" s="14">
        <f t="shared" si="8"/>
        <v>0.31568228105906315</v>
      </c>
      <c r="O268" s="1">
        <v>0.39</v>
      </c>
      <c r="P268" s="1">
        <f t="shared" si="9"/>
        <v>0.14160919540229891</v>
      </c>
    </row>
    <row r="269" spans="1:16" x14ac:dyDescent="0.45">
      <c r="A269" t="s">
        <v>24</v>
      </c>
      <c r="B269" t="s">
        <v>25</v>
      </c>
      <c r="C269">
        <v>2022</v>
      </c>
      <c r="D269" t="s">
        <v>33</v>
      </c>
      <c r="E269" t="s">
        <v>31</v>
      </c>
      <c r="F269">
        <v>613</v>
      </c>
      <c r="G269">
        <v>20.38</v>
      </c>
      <c r="H269">
        <v>20.170000000000002</v>
      </c>
      <c r="I269">
        <v>58</v>
      </c>
      <c r="J269" t="s">
        <v>17</v>
      </c>
      <c r="K269" s="14">
        <f>COUNTIFS(B:B,"Beta_Supplies",E:E,"Partially Delivered") / COUNTIF(B:B,"Beta_Supplies")</f>
        <v>8.3333333333333329E-2</v>
      </c>
      <c r="L269" s="15">
        <v>12364.21</v>
      </c>
      <c r="M269" s="15">
        <v>128.72999999999999</v>
      </c>
      <c r="N269" s="14">
        <f t="shared" si="8"/>
        <v>9.461663947797716E-2</v>
      </c>
      <c r="O269" s="1">
        <v>0.76</v>
      </c>
      <c r="P269" s="1">
        <f t="shared" si="9"/>
        <v>1.03042198233561E-2</v>
      </c>
    </row>
    <row r="270" spans="1:16" x14ac:dyDescent="0.45">
      <c r="A270" t="s">
        <v>21</v>
      </c>
      <c r="B270" t="s">
        <v>22</v>
      </c>
      <c r="C270">
        <v>2022</v>
      </c>
      <c r="D270" t="s">
        <v>27</v>
      </c>
      <c r="E270" t="s">
        <v>31</v>
      </c>
      <c r="F270">
        <v>1341</v>
      </c>
      <c r="G270">
        <v>46.27</v>
      </c>
      <c r="H270">
        <v>43.94</v>
      </c>
      <c r="I270">
        <v>63</v>
      </c>
      <c r="J270" t="s">
        <v>17</v>
      </c>
      <c r="K270" s="14">
        <f>COUNTIFS(B:B,"Gamma_Co",E:E,"Partially Delivered") / COUNTIF(B:B,"Gamma_Co")</f>
        <v>0.12587412587412589</v>
      </c>
      <c r="L270" s="15">
        <v>58923.54</v>
      </c>
      <c r="M270" s="15">
        <v>3124.53</v>
      </c>
      <c r="N270" s="14">
        <f t="shared" si="8"/>
        <v>4.6979865771812082E-2</v>
      </c>
      <c r="O270" s="1">
        <v>0.86</v>
      </c>
      <c r="P270" s="1">
        <f t="shared" si="9"/>
        <v>5.0356602550248653E-2</v>
      </c>
    </row>
    <row r="271" spans="1:16" x14ac:dyDescent="0.45">
      <c r="A271" t="s">
        <v>24</v>
      </c>
      <c r="B271" t="s">
        <v>25</v>
      </c>
      <c r="C271">
        <v>2023</v>
      </c>
      <c r="D271" t="s">
        <v>23</v>
      </c>
      <c r="E271" t="s">
        <v>31</v>
      </c>
      <c r="F271">
        <v>1583</v>
      </c>
      <c r="G271">
        <v>103.57</v>
      </c>
      <c r="H271">
        <v>89.38</v>
      </c>
      <c r="I271">
        <v>164</v>
      </c>
      <c r="J271" t="s">
        <v>17</v>
      </c>
      <c r="K271" s="14">
        <f>COUNTIFS(B:B,"Beta_Supplies",E:E,"Partially Delivered") / COUNTIF(B:B,"Beta_Supplies")</f>
        <v>8.3333333333333329E-2</v>
      </c>
      <c r="L271" s="15">
        <v>141488.54</v>
      </c>
      <c r="M271" s="15">
        <v>22462.77</v>
      </c>
      <c r="N271" s="14">
        <f t="shared" si="8"/>
        <v>0.10360075805432722</v>
      </c>
      <c r="O271" s="1">
        <v>0.76</v>
      </c>
      <c r="P271" s="1">
        <f t="shared" si="9"/>
        <v>0.13700878632808727</v>
      </c>
    </row>
    <row r="272" spans="1:16" x14ac:dyDescent="0.45">
      <c r="A272" t="s">
        <v>24</v>
      </c>
      <c r="B272" t="s">
        <v>25</v>
      </c>
      <c r="C272">
        <v>2022</v>
      </c>
      <c r="D272" t="s">
        <v>27</v>
      </c>
      <c r="E272" t="s">
        <v>16</v>
      </c>
      <c r="F272">
        <v>1880</v>
      </c>
      <c r="G272">
        <v>92.73</v>
      </c>
      <c r="H272">
        <v>90.78</v>
      </c>
      <c r="I272">
        <v>173</v>
      </c>
      <c r="J272" t="s">
        <v>17</v>
      </c>
      <c r="K272" s="14">
        <f>COUNTIFS(B:B,"Beta_Supplies",E:E,"Cancelled")/COUNTIF(B:B,"Beta_Supplies")</f>
        <v>8.9743589743589744E-2</v>
      </c>
      <c r="L272" s="15">
        <v>170666.4</v>
      </c>
      <c r="M272" s="15">
        <v>3666</v>
      </c>
      <c r="N272" s="14">
        <f t="shared" si="8"/>
        <v>9.2021276595744675E-2</v>
      </c>
      <c r="O272" s="1">
        <v>0.76</v>
      </c>
      <c r="P272" s="1">
        <f t="shared" si="9"/>
        <v>2.1028793270786182E-2</v>
      </c>
    </row>
    <row r="273" spans="1:16" x14ac:dyDescent="0.45">
      <c r="A273" t="s">
        <v>29</v>
      </c>
      <c r="B273" t="s">
        <v>30</v>
      </c>
      <c r="C273">
        <v>2022</v>
      </c>
      <c r="D273" t="s">
        <v>23</v>
      </c>
      <c r="E273" t="s">
        <v>20</v>
      </c>
      <c r="F273">
        <v>1459</v>
      </c>
      <c r="G273">
        <v>84.79</v>
      </c>
      <c r="H273">
        <v>82.72</v>
      </c>
      <c r="I273">
        <v>47</v>
      </c>
      <c r="J273" t="s">
        <v>17</v>
      </c>
      <c r="K273" s="14">
        <f>COUNTIFS(B:B,"Epsilon_Group",E:E,"Delivered") / COUNTIF(B:B,"Epsilon_Group")</f>
        <v>0.72289156626506024</v>
      </c>
      <c r="L273" s="15">
        <v>120688.48</v>
      </c>
      <c r="M273" s="15">
        <v>3020.13</v>
      </c>
      <c r="N273" s="14">
        <f t="shared" si="8"/>
        <v>3.2213845099383139E-2</v>
      </c>
      <c r="O273" s="1">
        <v>0.98</v>
      </c>
      <c r="P273" s="1">
        <f t="shared" si="9"/>
        <v>2.4413256280221809E-2</v>
      </c>
    </row>
    <row r="274" spans="1:16" x14ac:dyDescent="0.45">
      <c r="A274" t="s">
        <v>18</v>
      </c>
      <c r="B274" t="s">
        <v>19</v>
      </c>
      <c r="C274">
        <v>2022</v>
      </c>
      <c r="D274" t="s">
        <v>15</v>
      </c>
      <c r="E274" t="s">
        <v>20</v>
      </c>
      <c r="F274">
        <v>1460</v>
      </c>
      <c r="G274">
        <v>34.54</v>
      </c>
      <c r="H274">
        <v>31.87</v>
      </c>
      <c r="I274">
        <v>208</v>
      </c>
      <c r="J274" t="s">
        <v>28</v>
      </c>
      <c r="K274" s="14">
        <f>COUNTIFS(B:B,"Delta_Logistics",E:E,"Delivered") / COUNTIF(B:B,"Delta_Logistics")</f>
        <v>0.70175438596491224</v>
      </c>
      <c r="L274" s="15">
        <v>46530.2</v>
      </c>
      <c r="M274" s="15">
        <v>3898.2</v>
      </c>
      <c r="N274" s="14">
        <f t="shared" si="8"/>
        <v>0.14246575342465753</v>
      </c>
      <c r="O274" s="1">
        <v>0.39</v>
      </c>
      <c r="P274" s="1">
        <f t="shared" si="9"/>
        <v>7.7301679212507191E-2</v>
      </c>
    </row>
    <row r="275" spans="1:16" x14ac:dyDescent="0.45">
      <c r="A275" t="s">
        <v>24</v>
      </c>
      <c r="B275" t="s">
        <v>25</v>
      </c>
      <c r="C275">
        <v>2022</v>
      </c>
      <c r="D275" t="s">
        <v>26</v>
      </c>
      <c r="E275" t="s">
        <v>31</v>
      </c>
      <c r="F275">
        <v>1186</v>
      </c>
      <c r="G275">
        <v>26.14</v>
      </c>
      <c r="H275">
        <v>24.78</v>
      </c>
      <c r="I275">
        <v>112</v>
      </c>
      <c r="J275" t="s">
        <v>17</v>
      </c>
      <c r="K275" s="14">
        <f>COUNTIFS(B:B,"Beta_Supplies",E:E,"Partially Delivered") / COUNTIF(B:B,"Beta_Supplies")</f>
        <v>8.3333333333333329E-2</v>
      </c>
      <c r="L275" s="15">
        <v>29389.08</v>
      </c>
      <c r="M275" s="15">
        <v>1612.96</v>
      </c>
      <c r="N275" s="14">
        <f t="shared" si="8"/>
        <v>9.4435075885328831E-2</v>
      </c>
      <c r="O275" s="1">
        <v>0.76</v>
      </c>
      <c r="P275" s="1">
        <f t="shared" si="9"/>
        <v>5.2027543993879093E-2</v>
      </c>
    </row>
    <row r="276" spans="1:16" x14ac:dyDescent="0.45">
      <c r="A276" t="s">
        <v>29</v>
      </c>
      <c r="B276" t="s">
        <v>30</v>
      </c>
      <c r="C276">
        <v>2022</v>
      </c>
      <c r="D276" t="s">
        <v>23</v>
      </c>
      <c r="E276" t="s">
        <v>32</v>
      </c>
      <c r="F276">
        <v>1686</v>
      </c>
      <c r="G276">
        <v>72.28</v>
      </c>
      <c r="H276">
        <v>65.209999999999994</v>
      </c>
      <c r="I276">
        <v>53</v>
      </c>
      <c r="J276" t="s">
        <v>17</v>
      </c>
      <c r="K276" s="14">
        <f>COUNTIFS(B:B,"Epsilon_Group",E:E,"Pending") / COUNTIF(B:B,"Epsilon_Group")</f>
        <v>0.10843373493975904</v>
      </c>
      <c r="L276" s="15">
        <v>109944.06</v>
      </c>
      <c r="M276" s="15">
        <v>11920.02</v>
      </c>
      <c r="N276" s="14">
        <f t="shared" si="8"/>
        <v>3.1435349940688022E-2</v>
      </c>
      <c r="O276" s="1">
        <v>0.98</v>
      </c>
      <c r="P276" s="1">
        <f t="shared" si="9"/>
        <v>9.7814056447150077E-2</v>
      </c>
    </row>
    <row r="277" spans="1:16" x14ac:dyDescent="0.45">
      <c r="A277" t="s">
        <v>13</v>
      </c>
      <c r="B277" t="s">
        <v>14</v>
      </c>
      <c r="C277">
        <v>2023</v>
      </c>
      <c r="D277" t="s">
        <v>23</v>
      </c>
      <c r="E277" t="s">
        <v>20</v>
      </c>
      <c r="F277">
        <v>1698</v>
      </c>
      <c r="G277">
        <v>102.07</v>
      </c>
      <c r="H277">
        <v>100.69</v>
      </c>
      <c r="I277">
        <v>28</v>
      </c>
      <c r="J277" t="s">
        <v>17</v>
      </c>
      <c r="K277" s="14">
        <f>COUNTIFS(B:B,"Alpha_Inc",E:E,"Delivered")/COUNTIF(B:B,"Alpha_Inc")</f>
        <v>0.75886524822695034</v>
      </c>
      <c r="L277" s="15">
        <v>170971.62</v>
      </c>
      <c r="M277" s="15">
        <v>2343.2399999999998</v>
      </c>
      <c r="N277" s="14">
        <f t="shared" si="8"/>
        <v>1.6489988221436984E-2</v>
      </c>
      <c r="O277" s="1">
        <v>0.94</v>
      </c>
      <c r="P277" s="1">
        <f t="shared" si="9"/>
        <v>1.3520133241892775E-2</v>
      </c>
    </row>
    <row r="278" spans="1:16" x14ac:dyDescent="0.45">
      <c r="A278" t="s">
        <v>29</v>
      </c>
      <c r="B278" t="s">
        <v>30</v>
      </c>
      <c r="C278">
        <v>2023</v>
      </c>
      <c r="D278" t="s">
        <v>33</v>
      </c>
      <c r="E278" t="s">
        <v>20</v>
      </c>
      <c r="F278">
        <v>1001</v>
      </c>
      <c r="G278">
        <v>64.62</v>
      </c>
      <c r="H278">
        <v>55.7</v>
      </c>
      <c r="I278">
        <v>32</v>
      </c>
      <c r="J278" t="s">
        <v>17</v>
      </c>
      <c r="K278" s="14">
        <f>COUNTIFS(B:B,"Epsilon_Group",E:E,"Delivered") / COUNTIF(B:B,"Epsilon_Group")</f>
        <v>0.72289156626506024</v>
      </c>
      <c r="L278" s="15">
        <v>55755.7</v>
      </c>
      <c r="M278" s="15">
        <v>8928.92</v>
      </c>
      <c r="N278" s="14">
        <f t="shared" si="8"/>
        <v>3.1968031968031968E-2</v>
      </c>
      <c r="O278" s="1">
        <v>0.98</v>
      </c>
      <c r="P278" s="1">
        <f t="shared" si="9"/>
        <v>0.13803775920767566</v>
      </c>
    </row>
    <row r="279" spans="1:16" x14ac:dyDescent="0.45">
      <c r="A279" t="s">
        <v>13</v>
      </c>
      <c r="B279" t="s">
        <v>14</v>
      </c>
      <c r="C279">
        <v>2022</v>
      </c>
      <c r="D279" t="s">
        <v>15</v>
      </c>
      <c r="E279" t="s">
        <v>20</v>
      </c>
      <c r="F279">
        <v>1154</v>
      </c>
      <c r="G279">
        <v>62.67</v>
      </c>
      <c r="H279">
        <v>54.11</v>
      </c>
      <c r="I279">
        <v>25</v>
      </c>
      <c r="J279" t="s">
        <v>17</v>
      </c>
      <c r="K279" s="14">
        <f>COUNTIFS(B:B,"Alpha_Inc",E:E,"Delivered")/COUNTIF(B:B,"Alpha_Inc")</f>
        <v>0.75886524822695034</v>
      </c>
      <c r="L279" s="15">
        <v>62442.94</v>
      </c>
      <c r="M279" s="15">
        <v>9878.24</v>
      </c>
      <c r="N279" s="14">
        <f t="shared" si="8"/>
        <v>2.1663778162911613E-2</v>
      </c>
      <c r="O279" s="1">
        <v>0.94</v>
      </c>
      <c r="P279" s="1">
        <f t="shared" si="9"/>
        <v>0.13658847933620555</v>
      </c>
    </row>
    <row r="280" spans="1:16" x14ac:dyDescent="0.45">
      <c r="A280" t="s">
        <v>13</v>
      </c>
      <c r="B280" t="s">
        <v>14</v>
      </c>
      <c r="C280">
        <v>2023</v>
      </c>
      <c r="D280" t="s">
        <v>26</v>
      </c>
      <c r="E280" t="s">
        <v>16</v>
      </c>
      <c r="F280">
        <v>748</v>
      </c>
      <c r="G280">
        <v>37.659999999999997</v>
      </c>
      <c r="H280">
        <v>32.71</v>
      </c>
      <c r="I280">
        <v>24</v>
      </c>
      <c r="J280" t="s">
        <v>28</v>
      </c>
      <c r="K280" s="14">
        <f>COUNTIFS(B:B,"Alpha_Inc",E:E,"Cancelled") / COUNTIF(B:B,"Alpha_Inc")</f>
        <v>9.2198581560283682E-2</v>
      </c>
      <c r="L280" s="15">
        <v>24467.08</v>
      </c>
      <c r="M280" s="15">
        <v>3702.6</v>
      </c>
      <c r="N280" s="14">
        <f t="shared" si="8"/>
        <v>3.2085561497326207E-2</v>
      </c>
      <c r="O280" s="1">
        <v>0.06</v>
      </c>
      <c r="P280" s="1">
        <f t="shared" si="9"/>
        <v>0.13143919277748264</v>
      </c>
    </row>
    <row r="281" spans="1:16" x14ac:dyDescent="0.45">
      <c r="A281" t="s">
        <v>13</v>
      </c>
      <c r="B281" t="s">
        <v>14</v>
      </c>
      <c r="C281">
        <v>2022</v>
      </c>
      <c r="D281" t="s">
        <v>15</v>
      </c>
      <c r="E281" t="s">
        <v>20</v>
      </c>
      <c r="F281">
        <v>162</v>
      </c>
      <c r="G281">
        <v>81.63</v>
      </c>
      <c r="H281">
        <v>78.760000000000005</v>
      </c>
      <c r="I281">
        <v>2</v>
      </c>
      <c r="J281" t="s">
        <v>17</v>
      </c>
      <c r="K281" s="14">
        <f>COUNTIFS(B:B,"Alpha_Inc",E:E,"Delivered")/COUNTIF(B:B,"Alpha_Inc")</f>
        <v>0.75886524822695034</v>
      </c>
      <c r="L281" s="15">
        <v>12759.12</v>
      </c>
      <c r="M281" s="15">
        <v>464.94</v>
      </c>
      <c r="N281" s="14">
        <f t="shared" si="8"/>
        <v>1.2345679012345678E-2</v>
      </c>
      <c r="O281" s="1">
        <v>0.94</v>
      </c>
      <c r="P281" s="1">
        <f t="shared" si="9"/>
        <v>3.5158642655886196E-2</v>
      </c>
    </row>
    <row r="282" spans="1:16" x14ac:dyDescent="0.45">
      <c r="A282" t="s">
        <v>13</v>
      </c>
      <c r="B282" t="s">
        <v>14</v>
      </c>
      <c r="C282">
        <v>2022</v>
      </c>
      <c r="D282" t="s">
        <v>26</v>
      </c>
      <c r="E282" t="s">
        <v>20</v>
      </c>
      <c r="F282">
        <v>51</v>
      </c>
      <c r="G282">
        <v>28.04</v>
      </c>
      <c r="H282">
        <v>24.13</v>
      </c>
      <c r="I282">
        <v>0</v>
      </c>
      <c r="J282" t="s">
        <v>17</v>
      </c>
      <c r="K282" s="14">
        <f>COUNTIFS(B:B,"Alpha_Inc",E:E,"Delivered")/COUNTIF(B:B,"Alpha_Inc")</f>
        <v>0.75886524822695034</v>
      </c>
      <c r="L282" s="15">
        <v>1230.6300000000001</v>
      </c>
      <c r="M282" s="15">
        <v>199.41</v>
      </c>
      <c r="N282" s="14">
        <f t="shared" si="8"/>
        <v>0</v>
      </c>
      <c r="O282" s="1">
        <v>0.94</v>
      </c>
      <c r="P282" s="1">
        <f t="shared" si="9"/>
        <v>0.13944365192582026</v>
      </c>
    </row>
    <row r="283" spans="1:16" x14ac:dyDescent="0.45">
      <c r="A283" t="s">
        <v>18</v>
      </c>
      <c r="B283" t="s">
        <v>19</v>
      </c>
      <c r="C283">
        <v>2023</v>
      </c>
      <c r="D283" t="s">
        <v>15</v>
      </c>
      <c r="E283" t="s">
        <v>20</v>
      </c>
      <c r="F283">
        <v>691</v>
      </c>
      <c r="G283">
        <v>42.07</v>
      </c>
      <c r="H283">
        <v>39.1</v>
      </c>
      <c r="I283">
        <v>106</v>
      </c>
      <c r="J283" t="s">
        <v>17</v>
      </c>
      <c r="K283" s="14">
        <f>COUNTIFS(B:B,"Delta_Logistics",E:E,"Delivered") / COUNTIF(B:B,"Delta_Logistics")</f>
        <v>0.70175438596491224</v>
      </c>
      <c r="L283" s="15">
        <v>27018.1</v>
      </c>
      <c r="M283" s="15">
        <v>2052.27</v>
      </c>
      <c r="N283" s="14">
        <f t="shared" si="8"/>
        <v>0.15340086830680175</v>
      </c>
      <c r="O283" s="1">
        <v>0.61</v>
      </c>
      <c r="P283" s="1">
        <f t="shared" si="9"/>
        <v>7.0596624673163744E-2</v>
      </c>
    </row>
    <row r="284" spans="1:16" x14ac:dyDescent="0.45">
      <c r="A284" t="s">
        <v>24</v>
      </c>
      <c r="B284" t="s">
        <v>25</v>
      </c>
      <c r="C284">
        <v>2022</v>
      </c>
      <c r="D284" t="s">
        <v>15</v>
      </c>
      <c r="E284" t="s">
        <v>20</v>
      </c>
      <c r="F284">
        <v>269</v>
      </c>
      <c r="G284">
        <v>50.22</v>
      </c>
      <c r="H284">
        <v>45.75</v>
      </c>
      <c r="I284">
        <v>32</v>
      </c>
      <c r="J284" t="s">
        <v>28</v>
      </c>
      <c r="K284" s="14">
        <f>COUNTIFS(B:B,"Beta_Supplies",E:E,"Delivered") / COUNTIF(B:B,"Beta_Supplies")</f>
        <v>0.70512820512820518</v>
      </c>
      <c r="L284" s="15">
        <v>12306.75</v>
      </c>
      <c r="M284" s="15">
        <v>1202.43</v>
      </c>
      <c r="N284" s="14">
        <f t="shared" si="8"/>
        <v>0.11895910780669144</v>
      </c>
      <c r="O284" s="1">
        <v>0.24</v>
      </c>
      <c r="P284" s="1">
        <f t="shared" si="9"/>
        <v>8.9008363201911564E-2</v>
      </c>
    </row>
    <row r="285" spans="1:16" x14ac:dyDescent="0.45">
      <c r="A285" t="s">
        <v>24</v>
      </c>
      <c r="B285" t="s">
        <v>25</v>
      </c>
      <c r="C285">
        <v>2022</v>
      </c>
      <c r="D285" t="s">
        <v>33</v>
      </c>
      <c r="E285" t="s">
        <v>32</v>
      </c>
      <c r="F285">
        <v>1639</v>
      </c>
      <c r="G285">
        <v>56.24</v>
      </c>
      <c r="H285">
        <v>55.4</v>
      </c>
      <c r="I285">
        <v>147</v>
      </c>
      <c r="J285" t="s">
        <v>17</v>
      </c>
      <c r="K285" s="14">
        <f>COUNTIFS(B:B,"Beta_Supplies",E:E,"Pending") / COUNTIF(B:B,"Beta_Supplies")</f>
        <v>0.12179487179487179</v>
      </c>
      <c r="L285" s="15">
        <v>90800.6</v>
      </c>
      <c r="M285" s="15">
        <v>1376.76</v>
      </c>
      <c r="N285" s="14">
        <f t="shared" si="8"/>
        <v>8.9688834655277605E-2</v>
      </c>
      <c r="O285" s="1">
        <v>0.76</v>
      </c>
      <c r="P285" s="1">
        <f t="shared" si="9"/>
        <v>1.4935988620199207E-2</v>
      </c>
    </row>
    <row r="286" spans="1:16" x14ac:dyDescent="0.45">
      <c r="A286" t="s">
        <v>13</v>
      </c>
      <c r="B286" t="s">
        <v>14</v>
      </c>
      <c r="C286">
        <v>2023</v>
      </c>
      <c r="D286" t="s">
        <v>27</v>
      </c>
      <c r="E286" t="s">
        <v>20</v>
      </c>
      <c r="F286">
        <v>904</v>
      </c>
      <c r="G286">
        <v>34.04</v>
      </c>
      <c r="H286">
        <v>30.06</v>
      </c>
      <c r="I286">
        <v>26</v>
      </c>
      <c r="J286" t="s">
        <v>17</v>
      </c>
      <c r="K286" s="14">
        <f>COUNTIFS(B:B,"Alpha_Inc",E:E,"Delivered")/COUNTIF(B:B,"Alpha_Inc")</f>
        <v>0.75886524822695034</v>
      </c>
      <c r="L286" s="15">
        <v>27174.240000000002</v>
      </c>
      <c r="M286" s="15">
        <v>3597.92</v>
      </c>
      <c r="N286" s="14">
        <f t="shared" si="8"/>
        <v>2.8761061946902654E-2</v>
      </c>
      <c r="O286" s="1">
        <v>0.94</v>
      </c>
      <c r="P286" s="1">
        <f t="shared" si="9"/>
        <v>0.11692126909518215</v>
      </c>
    </row>
    <row r="287" spans="1:16" x14ac:dyDescent="0.45">
      <c r="A287" t="s">
        <v>24</v>
      </c>
      <c r="B287" t="s">
        <v>25</v>
      </c>
      <c r="C287">
        <v>2023</v>
      </c>
      <c r="D287" t="s">
        <v>15</v>
      </c>
      <c r="E287" t="s">
        <v>20</v>
      </c>
      <c r="F287">
        <v>1809</v>
      </c>
      <c r="G287">
        <v>22.17</v>
      </c>
      <c r="H287">
        <v>19.649999999999999</v>
      </c>
      <c r="I287">
        <v>105</v>
      </c>
      <c r="J287" t="s">
        <v>17</v>
      </c>
      <c r="K287" s="14">
        <f>COUNTIFS(B:B,"Beta_Supplies",E:E,"Delivered") / COUNTIF(B:B,"Beta_Supplies")</f>
        <v>0.70512820512820518</v>
      </c>
      <c r="L287" s="15">
        <v>35546.85</v>
      </c>
      <c r="M287" s="15">
        <v>4558.68</v>
      </c>
      <c r="N287" s="14">
        <f t="shared" si="8"/>
        <v>5.8043117744610281E-2</v>
      </c>
      <c r="O287" s="1">
        <v>0.76</v>
      </c>
      <c r="P287" s="1">
        <f t="shared" si="9"/>
        <v>0.11366711772665777</v>
      </c>
    </row>
    <row r="288" spans="1:16" x14ac:dyDescent="0.45">
      <c r="A288" t="s">
        <v>13</v>
      </c>
      <c r="B288" t="s">
        <v>14</v>
      </c>
      <c r="C288">
        <v>2022</v>
      </c>
      <c r="D288" t="s">
        <v>26</v>
      </c>
      <c r="E288" t="s">
        <v>20</v>
      </c>
      <c r="F288">
        <v>1298</v>
      </c>
      <c r="G288">
        <v>65.930000000000007</v>
      </c>
      <c r="H288">
        <v>58.95</v>
      </c>
      <c r="I288">
        <v>24</v>
      </c>
      <c r="J288" t="s">
        <v>17</v>
      </c>
      <c r="K288" s="14">
        <f>COUNTIFS(B:B,"Alpha_Inc",E:E,"Delivered")/COUNTIF(B:B,"Alpha_Inc")</f>
        <v>0.75886524822695034</v>
      </c>
      <c r="L288" s="15">
        <v>76517.100000000006</v>
      </c>
      <c r="M288" s="15">
        <v>9060.0400000000009</v>
      </c>
      <c r="N288" s="14">
        <f t="shared" si="8"/>
        <v>1.8489984591679508E-2</v>
      </c>
      <c r="O288" s="1">
        <v>0.94</v>
      </c>
      <c r="P288" s="1">
        <f t="shared" si="9"/>
        <v>0.10586986197482183</v>
      </c>
    </row>
    <row r="289" spans="1:16" x14ac:dyDescent="0.45">
      <c r="A289" t="s">
        <v>24</v>
      </c>
      <c r="B289" t="s">
        <v>25</v>
      </c>
      <c r="C289">
        <v>2022</v>
      </c>
      <c r="D289" t="s">
        <v>26</v>
      </c>
      <c r="E289" t="s">
        <v>20</v>
      </c>
      <c r="F289">
        <v>434</v>
      </c>
      <c r="G289">
        <v>36.159999999999997</v>
      </c>
      <c r="H289">
        <v>34.79</v>
      </c>
      <c r="I289">
        <v>41</v>
      </c>
      <c r="J289" t="s">
        <v>17</v>
      </c>
      <c r="K289" s="14">
        <f>COUNTIFS(B:B,"Beta_Supplies",E:E,"Delivered") / COUNTIF(B:B,"Beta_Supplies")</f>
        <v>0.70512820512820518</v>
      </c>
      <c r="L289" s="15">
        <v>15098.86</v>
      </c>
      <c r="M289" s="15">
        <v>594.58000000000004</v>
      </c>
      <c r="N289" s="14">
        <f t="shared" si="8"/>
        <v>9.4470046082949302E-2</v>
      </c>
      <c r="O289" s="1">
        <v>0.76</v>
      </c>
      <c r="P289" s="1">
        <f t="shared" si="9"/>
        <v>3.7887168141592854E-2</v>
      </c>
    </row>
    <row r="290" spans="1:16" x14ac:dyDescent="0.45">
      <c r="A290" t="s">
        <v>29</v>
      </c>
      <c r="B290" t="s">
        <v>30</v>
      </c>
      <c r="C290">
        <v>2023</v>
      </c>
      <c r="D290" t="s">
        <v>33</v>
      </c>
      <c r="E290" t="s">
        <v>20</v>
      </c>
      <c r="F290">
        <v>1476</v>
      </c>
      <c r="G290">
        <v>68.849999999999994</v>
      </c>
      <c r="H290">
        <v>65.28</v>
      </c>
      <c r="I290">
        <v>43</v>
      </c>
      <c r="J290" t="s">
        <v>17</v>
      </c>
      <c r="K290" s="14">
        <f>COUNTIFS(B:B,"Epsilon_Group",E:E,"Delivered") / COUNTIF(B:B,"Epsilon_Group")</f>
        <v>0.72289156626506024</v>
      </c>
      <c r="L290" s="15">
        <v>96353.279999999999</v>
      </c>
      <c r="M290" s="15">
        <v>5269.32</v>
      </c>
      <c r="N290" s="14">
        <f t="shared" si="8"/>
        <v>2.9132791327913278E-2</v>
      </c>
      <c r="O290" s="1">
        <v>0.98</v>
      </c>
      <c r="P290" s="1">
        <f t="shared" si="9"/>
        <v>5.185185185185176E-2</v>
      </c>
    </row>
    <row r="291" spans="1:16" x14ac:dyDescent="0.45">
      <c r="A291" t="s">
        <v>18</v>
      </c>
      <c r="B291" t="s">
        <v>19</v>
      </c>
      <c r="C291">
        <v>2023</v>
      </c>
      <c r="D291" t="s">
        <v>27</v>
      </c>
      <c r="E291" t="s">
        <v>31</v>
      </c>
      <c r="F291">
        <v>1711</v>
      </c>
      <c r="G291">
        <v>26.04</v>
      </c>
      <c r="H291">
        <v>24.81</v>
      </c>
      <c r="I291">
        <v>290</v>
      </c>
      <c r="J291" t="s">
        <v>17</v>
      </c>
      <c r="K291" s="14">
        <f>COUNTIFS(B:B,"Delta_Logistics",E:E,"Partially Delivered") / COUNTIF(B:B,"Delta_Logistics")</f>
        <v>0.10526315789473684</v>
      </c>
      <c r="L291" s="15">
        <v>42449.91</v>
      </c>
      <c r="M291" s="15">
        <v>2104.5300000000002</v>
      </c>
      <c r="N291" s="14">
        <f t="shared" si="8"/>
        <v>0.16949152542372881</v>
      </c>
      <c r="O291" s="1">
        <v>0.61</v>
      </c>
      <c r="P291" s="1">
        <f t="shared" si="9"/>
        <v>4.7235023041474672E-2</v>
      </c>
    </row>
    <row r="292" spans="1:16" x14ac:dyDescent="0.45">
      <c r="A292" t="s">
        <v>21</v>
      </c>
      <c r="B292" t="s">
        <v>22</v>
      </c>
      <c r="C292">
        <v>2022</v>
      </c>
      <c r="D292" t="s">
        <v>26</v>
      </c>
      <c r="E292" t="s">
        <v>20</v>
      </c>
      <c r="F292">
        <v>1203</v>
      </c>
      <c r="G292">
        <v>53.3</v>
      </c>
      <c r="H292">
        <v>47.68</v>
      </c>
      <c r="I292">
        <v>49</v>
      </c>
      <c r="J292" t="s">
        <v>17</v>
      </c>
      <c r="K292" s="14">
        <f>COUNTIFS(B:B,"Gamma_Co",E:E,"Delivered") / COUNTIF(B:B,"Gamma_Co")</f>
        <v>0.72027972027972031</v>
      </c>
      <c r="L292" s="15">
        <v>57359.040000000001</v>
      </c>
      <c r="M292" s="15">
        <v>6760.86</v>
      </c>
      <c r="N292" s="14">
        <f t="shared" si="8"/>
        <v>4.0731504571903575E-2</v>
      </c>
      <c r="O292" s="1">
        <v>0.86</v>
      </c>
      <c r="P292" s="1">
        <f t="shared" si="9"/>
        <v>0.10544090056285174</v>
      </c>
    </row>
    <row r="293" spans="1:16" x14ac:dyDescent="0.45">
      <c r="A293" t="s">
        <v>13</v>
      </c>
      <c r="B293" t="s">
        <v>14</v>
      </c>
      <c r="C293">
        <v>2022</v>
      </c>
      <c r="D293" t="s">
        <v>33</v>
      </c>
      <c r="E293" t="s">
        <v>20</v>
      </c>
      <c r="F293">
        <v>1126</v>
      </c>
      <c r="G293">
        <v>58.8</v>
      </c>
      <c r="H293">
        <v>52.22</v>
      </c>
      <c r="I293">
        <v>24</v>
      </c>
      <c r="J293" t="s">
        <v>17</v>
      </c>
      <c r="K293" s="14">
        <f>COUNTIFS(B:B,"Alpha_Inc",E:E,"Delivered")/COUNTIF(B:B,"Alpha_Inc")</f>
        <v>0.75886524822695034</v>
      </c>
      <c r="L293" s="15">
        <v>58799.72</v>
      </c>
      <c r="M293" s="15">
        <v>7409.08</v>
      </c>
      <c r="N293" s="14">
        <f t="shared" si="8"/>
        <v>2.1314387211367674E-2</v>
      </c>
      <c r="O293" s="1">
        <v>0.94</v>
      </c>
      <c r="P293" s="1">
        <f t="shared" si="9"/>
        <v>0.11190476190476188</v>
      </c>
    </row>
    <row r="294" spans="1:16" x14ac:dyDescent="0.45">
      <c r="A294" t="s">
        <v>29</v>
      </c>
      <c r="B294" t="s">
        <v>30</v>
      </c>
      <c r="C294">
        <v>2022</v>
      </c>
      <c r="D294" t="s">
        <v>26</v>
      </c>
      <c r="E294" t="s">
        <v>20</v>
      </c>
      <c r="F294">
        <v>1757</v>
      </c>
      <c r="G294">
        <v>15.18</v>
      </c>
      <c r="H294">
        <v>13.06</v>
      </c>
      <c r="I294">
        <v>63</v>
      </c>
      <c r="J294" t="s">
        <v>17</v>
      </c>
      <c r="K294" s="14">
        <f>COUNTIFS(B:B,"Epsilon_Group",E:E,"Delivered") / COUNTIF(B:B,"Epsilon_Group")</f>
        <v>0.72289156626506024</v>
      </c>
      <c r="L294" s="15">
        <v>22946.42</v>
      </c>
      <c r="M294" s="15">
        <v>3724.84</v>
      </c>
      <c r="N294" s="14">
        <f t="shared" si="8"/>
        <v>3.5856573705179286E-2</v>
      </c>
      <c r="O294" s="1">
        <v>0.98</v>
      </c>
      <c r="P294" s="1">
        <f t="shared" si="9"/>
        <v>0.13965744400527005</v>
      </c>
    </row>
    <row r="295" spans="1:16" x14ac:dyDescent="0.45">
      <c r="A295" t="s">
        <v>29</v>
      </c>
      <c r="B295" t="s">
        <v>30</v>
      </c>
      <c r="C295">
        <v>2022</v>
      </c>
      <c r="D295" t="s">
        <v>23</v>
      </c>
      <c r="E295" t="s">
        <v>20</v>
      </c>
      <c r="F295">
        <v>779</v>
      </c>
      <c r="G295">
        <v>41.3</v>
      </c>
      <c r="H295">
        <v>36.28</v>
      </c>
      <c r="I295">
        <v>20</v>
      </c>
      <c r="J295" t="s">
        <v>17</v>
      </c>
      <c r="K295" s="14">
        <f>COUNTIFS(B:B,"Epsilon_Group",E:E,"Delivered") / COUNTIF(B:B,"Epsilon_Group")</f>
        <v>0.72289156626506024</v>
      </c>
      <c r="L295" s="15">
        <v>28262.12</v>
      </c>
      <c r="M295" s="15">
        <v>3910.58</v>
      </c>
      <c r="N295" s="14">
        <f t="shared" si="8"/>
        <v>2.5673940949935817E-2</v>
      </c>
      <c r="O295" s="1">
        <v>0.98</v>
      </c>
      <c r="P295" s="1">
        <f t="shared" si="9"/>
        <v>0.121549636803874</v>
      </c>
    </row>
    <row r="296" spans="1:16" x14ac:dyDescent="0.45">
      <c r="A296" t="s">
        <v>18</v>
      </c>
      <c r="B296" t="s">
        <v>19</v>
      </c>
      <c r="C296">
        <v>2023</v>
      </c>
      <c r="D296" t="s">
        <v>15</v>
      </c>
      <c r="E296" t="s">
        <v>20</v>
      </c>
      <c r="F296">
        <v>1745</v>
      </c>
      <c r="G296">
        <v>23.53</v>
      </c>
      <c r="H296">
        <v>22.57</v>
      </c>
      <c r="I296">
        <v>282</v>
      </c>
      <c r="J296" t="s">
        <v>28</v>
      </c>
      <c r="K296" s="14">
        <f>COUNTIFS(B:B,"Delta_Logistics",E:E,"Delivered") / COUNTIF(B:B,"Delta_Logistics")</f>
        <v>0.70175438596491224</v>
      </c>
      <c r="L296" s="15">
        <v>39384.65</v>
      </c>
      <c r="M296" s="15">
        <v>1675.2</v>
      </c>
      <c r="N296" s="14">
        <f t="shared" si="8"/>
        <v>0.16160458452722062</v>
      </c>
      <c r="O296" s="1">
        <v>0.39</v>
      </c>
      <c r="P296" s="1">
        <f t="shared" si="9"/>
        <v>4.07989800254994E-2</v>
      </c>
    </row>
    <row r="297" spans="1:16" x14ac:dyDescent="0.45">
      <c r="A297" t="s">
        <v>18</v>
      </c>
      <c r="B297" t="s">
        <v>19</v>
      </c>
      <c r="C297">
        <v>2023</v>
      </c>
      <c r="D297" t="s">
        <v>27</v>
      </c>
      <c r="E297" t="s">
        <v>20</v>
      </c>
      <c r="F297">
        <v>1783</v>
      </c>
      <c r="G297">
        <v>16.96</v>
      </c>
      <c r="H297">
        <v>15.8</v>
      </c>
      <c r="I297">
        <v>295</v>
      </c>
      <c r="J297" t="s">
        <v>17</v>
      </c>
      <c r="K297" s="14">
        <f>COUNTIFS(B:B,"Delta_Logistics",E:E,"Delivered") / COUNTIF(B:B,"Delta_Logistics")</f>
        <v>0.70175438596491224</v>
      </c>
      <c r="L297" s="15">
        <v>28171.4</v>
      </c>
      <c r="M297" s="15">
        <v>2068.2800000000002</v>
      </c>
      <c r="N297" s="14">
        <f t="shared" si="8"/>
        <v>0.16545148625911385</v>
      </c>
      <c r="O297" s="1">
        <v>0.61</v>
      </c>
      <c r="P297" s="1">
        <f t="shared" si="9"/>
        <v>6.8396226415094338E-2</v>
      </c>
    </row>
    <row r="298" spans="1:16" x14ac:dyDescent="0.45">
      <c r="A298" t="s">
        <v>13</v>
      </c>
      <c r="B298" t="s">
        <v>14</v>
      </c>
      <c r="C298">
        <v>2023</v>
      </c>
      <c r="D298" t="s">
        <v>15</v>
      </c>
      <c r="E298" t="s">
        <v>31</v>
      </c>
      <c r="F298">
        <v>1489</v>
      </c>
      <c r="G298">
        <v>107.02</v>
      </c>
      <c r="H298">
        <v>93.3</v>
      </c>
      <c r="I298">
        <v>24</v>
      </c>
      <c r="J298" t="s">
        <v>17</v>
      </c>
      <c r="K298" s="14">
        <f>COUNTIFS(B:B,"Alpha_Inc",E:E,"Partially Delivered")/COUNTIF(B:B,"Alpha_Inc")</f>
        <v>7.0921985815602842E-2</v>
      </c>
      <c r="L298" s="15">
        <v>138923.70000000001</v>
      </c>
      <c r="M298" s="15">
        <v>20429.080000000002</v>
      </c>
      <c r="N298" s="14">
        <f t="shared" si="8"/>
        <v>1.6118200134318333E-2</v>
      </c>
      <c r="O298" s="1">
        <v>0.94</v>
      </c>
      <c r="P298" s="1">
        <f t="shared" si="9"/>
        <v>0.12820033638572229</v>
      </c>
    </row>
    <row r="299" spans="1:16" x14ac:dyDescent="0.45">
      <c r="A299" t="s">
        <v>13</v>
      </c>
      <c r="B299" t="s">
        <v>14</v>
      </c>
      <c r="C299">
        <v>2022</v>
      </c>
      <c r="D299" t="s">
        <v>15</v>
      </c>
      <c r="E299" t="s">
        <v>20</v>
      </c>
      <c r="F299">
        <v>296</v>
      </c>
      <c r="G299">
        <v>40.380000000000003</v>
      </c>
      <c r="H299">
        <v>35.25</v>
      </c>
      <c r="I299">
        <v>24</v>
      </c>
      <c r="J299" t="s">
        <v>17</v>
      </c>
      <c r="K299" s="14">
        <f>COUNTIFS(B:B,"Alpha_Inc",E:E,"Delivered")/COUNTIF(B:B,"Alpha_Inc")</f>
        <v>0.75886524822695034</v>
      </c>
      <c r="L299" s="15">
        <v>10434</v>
      </c>
      <c r="M299" s="15">
        <v>1518.48</v>
      </c>
      <c r="N299" s="14">
        <f t="shared" si="8"/>
        <v>8.1081081081081086E-2</v>
      </c>
      <c r="O299" s="1">
        <v>0.94</v>
      </c>
      <c r="P299" s="1">
        <f t="shared" si="9"/>
        <v>0.12704309063893021</v>
      </c>
    </row>
    <row r="300" spans="1:16" x14ac:dyDescent="0.45">
      <c r="A300" t="s">
        <v>29</v>
      </c>
      <c r="B300" t="s">
        <v>30</v>
      </c>
      <c r="C300">
        <v>2023</v>
      </c>
      <c r="D300" t="s">
        <v>23</v>
      </c>
      <c r="E300" t="s">
        <v>20</v>
      </c>
      <c r="F300">
        <v>885</v>
      </c>
      <c r="G300">
        <v>88.28</v>
      </c>
      <c r="H300">
        <v>80.8</v>
      </c>
      <c r="I300">
        <v>31</v>
      </c>
      <c r="J300" t="s">
        <v>17</v>
      </c>
      <c r="K300" s="14">
        <f>COUNTIFS(B:B,"Epsilon_Group",E:E,"Delivered") / COUNTIF(B:B,"Epsilon_Group")</f>
        <v>0.72289156626506024</v>
      </c>
      <c r="L300" s="15">
        <v>71508</v>
      </c>
      <c r="M300" s="15">
        <v>6619.8</v>
      </c>
      <c r="N300" s="14">
        <f t="shared" si="8"/>
        <v>3.5028248587570622E-2</v>
      </c>
      <c r="O300" s="1">
        <v>0.98</v>
      </c>
      <c r="P300" s="1">
        <f t="shared" si="9"/>
        <v>8.4730403262347126E-2</v>
      </c>
    </row>
    <row r="301" spans="1:16" x14ac:dyDescent="0.45">
      <c r="A301" t="s">
        <v>29</v>
      </c>
      <c r="B301" t="s">
        <v>30</v>
      </c>
      <c r="C301">
        <v>2022</v>
      </c>
      <c r="D301" t="s">
        <v>27</v>
      </c>
      <c r="E301" t="s">
        <v>32</v>
      </c>
      <c r="F301">
        <v>1512</v>
      </c>
      <c r="G301">
        <v>33.25</v>
      </c>
      <c r="H301">
        <v>30.15</v>
      </c>
      <c r="I301">
        <v>53</v>
      </c>
      <c r="J301" t="s">
        <v>17</v>
      </c>
      <c r="K301" s="14">
        <f>COUNTIFS(B:B,"Epsilon_Group",E:E,"Pending") / COUNTIF(B:B,"Epsilon_Group")</f>
        <v>0.10843373493975904</v>
      </c>
      <c r="L301" s="15">
        <v>45586.8</v>
      </c>
      <c r="M301" s="15">
        <v>4687.2</v>
      </c>
      <c r="N301" s="14">
        <f t="shared" si="8"/>
        <v>3.5052910052910051E-2</v>
      </c>
      <c r="O301" s="1">
        <v>0.98</v>
      </c>
      <c r="P301" s="1">
        <f t="shared" si="9"/>
        <v>9.3233082706766959E-2</v>
      </c>
    </row>
    <row r="302" spans="1:16" x14ac:dyDescent="0.45">
      <c r="A302" t="s">
        <v>18</v>
      </c>
      <c r="B302" t="s">
        <v>19</v>
      </c>
      <c r="C302">
        <v>2022</v>
      </c>
      <c r="D302" t="s">
        <v>15</v>
      </c>
      <c r="E302" t="s">
        <v>20</v>
      </c>
      <c r="F302">
        <v>252</v>
      </c>
      <c r="G302">
        <v>73.12</v>
      </c>
      <c r="H302">
        <v>67.64</v>
      </c>
      <c r="I302">
        <v>155</v>
      </c>
      <c r="J302" t="s">
        <v>28</v>
      </c>
      <c r="K302" s="14">
        <f>COUNTIFS(B:B,"Delta_Logistics",E:E,"Delivered") / COUNTIF(B:B,"Delta_Logistics")</f>
        <v>0.70175438596491224</v>
      </c>
      <c r="L302" s="15">
        <v>17045.28</v>
      </c>
      <c r="M302" s="15">
        <v>1380.96</v>
      </c>
      <c r="N302" s="14">
        <f t="shared" si="8"/>
        <v>0.61507936507936511</v>
      </c>
      <c r="O302" s="1">
        <v>0.39</v>
      </c>
      <c r="P302" s="1">
        <f t="shared" si="9"/>
        <v>7.4945295404814052E-2</v>
      </c>
    </row>
    <row r="303" spans="1:16" x14ac:dyDescent="0.45">
      <c r="A303" t="s">
        <v>13</v>
      </c>
      <c r="B303" t="s">
        <v>14</v>
      </c>
      <c r="C303">
        <v>2023</v>
      </c>
      <c r="D303" t="s">
        <v>33</v>
      </c>
      <c r="E303" t="s">
        <v>16</v>
      </c>
      <c r="F303">
        <v>1257</v>
      </c>
      <c r="G303">
        <v>83.13</v>
      </c>
      <c r="H303">
        <v>81.89</v>
      </c>
      <c r="I303">
        <v>30</v>
      </c>
      <c r="J303" t="s">
        <v>17</v>
      </c>
      <c r="K303" s="14">
        <f>COUNTIFS(B:B,"Alpha_Inc",E:E,"Cancelled") / COUNTIF(B:B,"Alpha_Inc")</f>
        <v>9.2198581560283682E-2</v>
      </c>
      <c r="L303" s="15">
        <v>102935.73</v>
      </c>
      <c r="M303" s="15">
        <v>1558.68</v>
      </c>
      <c r="N303" s="14">
        <f t="shared" si="8"/>
        <v>2.386634844868735E-2</v>
      </c>
      <c r="O303" s="1">
        <v>0.94</v>
      </c>
      <c r="P303" s="1">
        <f t="shared" si="9"/>
        <v>1.4916396006255201E-2</v>
      </c>
    </row>
    <row r="304" spans="1:16" x14ac:dyDescent="0.45">
      <c r="A304" t="s">
        <v>13</v>
      </c>
      <c r="B304" t="s">
        <v>14</v>
      </c>
      <c r="C304">
        <v>2022</v>
      </c>
      <c r="D304" t="s">
        <v>26</v>
      </c>
      <c r="E304" t="s">
        <v>20</v>
      </c>
      <c r="F304">
        <v>172</v>
      </c>
      <c r="G304">
        <v>63.61</v>
      </c>
      <c r="H304">
        <v>55.92</v>
      </c>
      <c r="I304">
        <v>4</v>
      </c>
      <c r="J304" t="s">
        <v>17</v>
      </c>
      <c r="K304" s="14">
        <f>COUNTIFS(B:B,"Alpha_Inc",E:E,"Delivered")/COUNTIF(B:B,"Alpha_Inc")</f>
        <v>0.75886524822695034</v>
      </c>
      <c r="L304" s="15">
        <v>9618.24</v>
      </c>
      <c r="M304" s="15">
        <v>1322.68</v>
      </c>
      <c r="N304" s="14">
        <f t="shared" si="8"/>
        <v>2.3255813953488372E-2</v>
      </c>
      <c r="O304" s="1">
        <v>0.94</v>
      </c>
      <c r="P304" s="1">
        <f t="shared" si="9"/>
        <v>0.12089294136142112</v>
      </c>
    </row>
    <row r="305" spans="1:16" x14ac:dyDescent="0.45">
      <c r="A305" t="s">
        <v>29</v>
      </c>
      <c r="B305" t="s">
        <v>30</v>
      </c>
      <c r="C305">
        <v>2023</v>
      </c>
      <c r="D305" t="s">
        <v>26</v>
      </c>
      <c r="E305" t="s">
        <v>32</v>
      </c>
      <c r="F305">
        <v>450</v>
      </c>
      <c r="G305">
        <v>55.85</v>
      </c>
      <c r="H305">
        <v>49.88</v>
      </c>
      <c r="I305">
        <v>9</v>
      </c>
      <c r="J305" t="s">
        <v>17</v>
      </c>
      <c r="K305" s="14">
        <f>COUNTIFS(B:B,"Epsilon_Group",E:E,"Pending") / COUNTIF(B:B,"Epsilon_Group")</f>
        <v>0.10843373493975904</v>
      </c>
      <c r="L305" s="15">
        <v>22446</v>
      </c>
      <c r="M305" s="15">
        <v>2686.5</v>
      </c>
      <c r="N305" s="14">
        <f t="shared" si="8"/>
        <v>0.02</v>
      </c>
      <c r="O305" s="1">
        <v>0.98</v>
      </c>
      <c r="P305" s="1">
        <f t="shared" si="9"/>
        <v>0.10689346463742164</v>
      </c>
    </row>
    <row r="306" spans="1:16" x14ac:dyDescent="0.45">
      <c r="A306" t="s">
        <v>21</v>
      </c>
      <c r="B306" t="s">
        <v>22</v>
      </c>
      <c r="C306">
        <v>2022</v>
      </c>
      <c r="D306" t="s">
        <v>33</v>
      </c>
      <c r="E306" t="s">
        <v>20</v>
      </c>
      <c r="F306">
        <v>816</v>
      </c>
      <c r="G306">
        <v>48.95</v>
      </c>
      <c r="H306">
        <v>43.42</v>
      </c>
      <c r="I306">
        <v>45</v>
      </c>
      <c r="J306" t="s">
        <v>17</v>
      </c>
      <c r="K306" s="14">
        <f>COUNTIFS(B:B,"Gamma_Co",E:E,"Delivered") / COUNTIF(B:B,"Gamma_Co")</f>
        <v>0.72027972027972031</v>
      </c>
      <c r="L306" s="15">
        <v>35430.720000000001</v>
      </c>
      <c r="M306" s="15">
        <v>4512.4799999999996</v>
      </c>
      <c r="N306" s="14">
        <f t="shared" si="8"/>
        <v>5.514705882352941E-2</v>
      </c>
      <c r="O306" s="1">
        <v>0.86</v>
      </c>
      <c r="P306" s="1">
        <f t="shared" si="9"/>
        <v>0.11297242083758939</v>
      </c>
    </row>
    <row r="307" spans="1:16" x14ac:dyDescent="0.45">
      <c r="A307" t="s">
        <v>29</v>
      </c>
      <c r="B307" t="s">
        <v>30</v>
      </c>
      <c r="C307">
        <v>2023</v>
      </c>
      <c r="D307" t="s">
        <v>26</v>
      </c>
      <c r="E307" t="s">
        <v>20</v>
      </c>
      <c r="F307">
        <v>343</v>
      </c>
      <c r="G307">
        <v>44.5</v>
      </c>
      <c r="H307">
        <v>38.57</v>
      </c>
      <c r="I307">
        <v>7</v>
      </c>
      <c r="J307" t="s">
        <v>17</v>
      </c>
      <c r="K307" s="14">
        <f>COUNTIFS(B:B,"Epsilon_Group",E:E,"Delivered") / COUNTIF(B:B,"Epsilon_Group")</f>
        <v>0.72289156626506024</v>
      </c>
      <c r="L307" s="15">
        <v>13229.51</v>
      </c>
      <c r="M307" s="15">
        <v>2033.99</v>
      </c>
      <c r="N307" s="14">
        <f t="shared" si="8"/>
        <v>2.0408163265306121E-2</v>
      </c>
      <c r="O307" s="1">
        <v>0.98</v>
      </c>
      <c r="P307" s="1">
        <f t="shared" si="9"/>
        <v>0.13325842696629212</v>
      </c>
    </row>
    <row r="308" spans="1:16" x14ac:dyDescent="0.45">
      <c r="A308" t="s">
        <v>21</v>
      </c>
      <c r="B308" t="s">
        <v>22</v>
      </c>
      <c r="C308">
        <v>2022</v>
      </c>
      <c r="D308" t="s">
        <v>23</v>
      </c>
      <c r="E308" t="s">
        <v>20</v>
      </c>
      <c r="F308">
        <v>329</v>
      </c>
      <c r="G308">
        <v>97.87</v>
      </c>
      <c r="H308">
        <v>85.35</v>
      </c>
      <c r="I308">
        <v>21</v>
      </c>
      <c r="J308" t="s">
        <v>28</v>
      </c>
      <c r="K308" s="14">
        <f>COUNTIFS(B:B,"Gamma_Co",E:E,"Delivered") / COUNTIF(B:B,"Gamma_Co")</f>
        <v>0.72027972027972031</v>
      </c>
      <c r="L308" s="15">
        <v>28080.15</v>
      </c>
      <c r="M308" s="15">
        <v>4119.08</v>
      </c>
      <c r="N308" s="14">
        <f t="shared" si="8"/>
        <v>6.3829787234042548E-2</v>
      </c>
      <c r="O308" s="1">
        <v>0.14000000000000001</v>
      </c>
      <c r="P308" s="1">
        <f t="shared" si="9"/>
        <v>0.12792479820169622</v>
      </c>
    </row>
    <row r="309" spans="1:16" x14ac:dyDescent="0.45">
      <c r="A309" t="s">
        <v>13</v>
      </c>
      <c r="B309" t="s">
        <v>14</v>
      </c>
      <c r="C309">
        <v>2023</v>
      </c>
      <c r="D309" t="s">
        <v>33</v>
      </c>
      <c r="E309" t="s">
        <v>20</v>
      </c>
      <c r="F309">
        <v>1910</v>
      </c>
      <c r="G309">
        <v>90.69</v>
      </c>
      <c r="H309">
        <v>85.8</v>
      </c>
      <c r="I309">
        <v>24</v>
      </c>
      <c r="J309" t="s">
        <v>17</v>
      </c>
      <c r="K309" s="14">
        <f>COUNTIFS(B:B,"Alpha_Inc",E:E,"Delivered")/COUNTIF(B:B,"Alpha_Inc")</f>
        <v>0.75886524822695034</v>
      </c>
      <c r="L309" s="15">
        <v>163878</v>
      </c>
      <c r="M309" s="15">
        <v>9339.9</v>
      </c>
      <c r="N309" s="14">
        <f t="shared" si="8"/>
        <v>1.2565445026178011E-2</v>
      </c>
      <c r="O309" s="1">
        <v>0.94</v>
      </c>
      <c r="P309" s="1">
        <f t="shared" si="9"/>
        <v>5.3919947072444602E-2</v>
      </c>
    </row>
    <row r="310" spans="1:16" x14ac:dyDescent="0.45">
      <c r="A310" t="s">
        <v>29</v>
      </c>
      <c r="B310" t="s">
        <v>30</v>
      </c>
      <c r="C310">
        <v>2023</v>
      </c>
      <c r="D310" t="s">
        <v>23</v>
      </c>
      <c r="E310" t="s">
        <v>20</v>
      </c>
      <c r="F310">
        <v>933</v>
      </c>
      <c r="G310">
        <v>107.99</v>
      </c>
      <c r="H310">
        <v>104.29</v>
      </c>
      <c r="I310">
        <v>29</v>
      </c>
      <c r="J310" t="s">
        <v>17</v>
      </c>
      <c r="K310" s="14">
        <f>COUNTIFS(B:B,"Epsilon_Group",E:E,"Delivered") / COUNTIF(B:B,"Epsilon_Group")</f>
        <v>0.72289156626506024</v>
      </c>
      <c r="L310" s="15">
        <v>97302.57</v>
      </c>
      <c r="M310" s="15">
        <v>3452.1</v>
      </c>
      <c r="N310" s="14">
        <f t="shared" si="8"/>
        <v>3.1082529474812434E-2</v>
      </c>
      <c r="O310" s="1">
        <v>0.98</v>
      </c>
      <c r="P310" s="1">
        <f t="shared" si="9"/>
        <v>3.4262431706639403E-2</v>
      </c>
    </row>
    <row r="311" spans="1:16" x14ac:dyDescent="0.45">
      <c r="A311" t="s">
        <v>18</v>
      </c>
      <c r="B311" t="s">
        <v>19</v>
      </c>
      <c r="C311">
        <v>2023</v>
      </c>
      <c r="D311" t="s">
        <v>27</v>
      </c>
      <c r="E311" t="s">
        <v>20</v>
      </c>
      <c r="F311">
        <v>1683</v>
      </c>
      <c r="G311">
        <v>23.09</v>
      </c>
      <c r="H311">
        <v>21.88</v>
      </c>
      <c r="I311">
        <v>253</v>
      </c>
      <c r="J311" t="s">
        <v>17</v>
      </c>
      <c r="K311" s="14">
        <f>COUNTIFS(B:B,"Delta_Logistics",E:E,"Delivered") / COUNTIF(B:B,"Delta_Logistics")</f>
        <v>0.70175438596491224</v>
      </c>
      <c r="L311" s="15">
        <v>36824.04</v>
      </c>
      <c r="M311" s="15">
        <v>2036.43</v>
      </c>
      <c r="N311" s="14">
        <f t="shared" si="8"/>
        <v>0.15032679738562091</v>
      </c>
      <c r="O311" s="1">
        <v>0.61</v>
      </c>
      <c r="P311" s="1">
        <f t="shared" si="9"/>
        <v>5.240363793850155E-2</v>
      </c>
    </row>
    <row r="312" spans="1:16" x14ac:dyDescent="0.45">
      <c r="A312" t="s">
        <v>24</v>
      </c>
      <c r="B312" t="s">
        <v>25</v>
      </c>
      <c r="C312">
        <v>2023</v>
      </c>
      <c r="D312" t="s">
        <v>26</v>
      </c>
      <c r="E312" t="s">
        <v>32</v>
      </c>
      <c r="F312">
        <v>247</v>
      </c>
      <c r="G312">
        <v>84.11</v>
      </c>
      <c r="H312">
        <v>71.97</v>
      </c>
      <c r="I312">
        <v>105</v>
      </c>
      <c r="J312" t="s">
        <v>17</v>
      </c>
      <c r="K312" s="14">
        <f>COUNTIFS(B:B,"Beta_Supplies",E:E,"Pending") / COUNTIF(B:B,"Beta_Supplies")</f>
        <v>0.12179487179487179</v>
      </c>
      <c r="L312" s="15">
        <v>17776.59</v>
      </c>
      <c r="M312" s="15">
        <v>2998.58</v>
      </c>
      <c r="N312" s="14">
        <f t="shared" si="8"/>
        <v>0.4251012145748988</v>
      </c>
      <c r="O312" s="1">
        <v>0.76</v>
      </c>
      <c r="P312" s="1">
        <f t="shared" si="9"/>
        <v>0.14433479966710261</v>
      </c>
    </row>
    <row r="313" spans="1:16" x14ac:dyDescent="0.45">
      <c r="A313" t="s">
        <v>13</v>
      </c>
      <c r="B313" t="s">
        <v>14</v>
      </c>
      <c r="C313">
        <v>2023</v>
      </c>
      <c r="D313" t="s">
        <v>23</v>
      </c>
      <c r="E313" t="s">
        <v>20</v>
      </c>
      <c r="F313">
        <v>1031</v>
      </c>
      <c r="G313">
        <v>102.01</v>
      </c>
      <c r="H313">
        <v>98.65</v>
      </c>
      <c r="I313">
        <v>24</v>
      </c>
      <c r="J313" t="s">
        <v>17</v>
      </c>
      <c r="K313" s="14">
        <f>COUNTIFS(B:B,"Alpha_Inc",E:E,"Delivered")/COUNTIF(B:B,"Alpha_Inc")</f>
        <v>0.75886524822695034</v>
      </c>
      <c r="L313" s="15">
        <v>101708.15</v>
      </c>
      <c r="M313" s="15">
        <v>3464.16</v>
      </c>
      <c r="N313" s="14">
        <f t="shared" si="8"/>
        <v>2.3278370514064017E-2</v>
      </c>
      <c r="O313" s="1">
        <v>0.94</v>
      </c>
      <c r="P313" s="1">
        <f t="shared" si="9"/>
        <v>3.2937947260072535E-2</v>
      </c>
    </row>
    <row r="314" spans="1:16" x14ac:dyDescent="0.45">
      <c r="A314" t="s">
        <v>13</v>
      </c>
      <c r="B314" t="s">
        <v>14</v>
      </c>
      <c r="C314">
        <v>2022</v>
      </c>
      <c r="D314" t="s">
        <v>26</v>
      </c>
      <c r="E314" t="s">
        <v>20</v>
      </c>
      <c r="F314">
        <v>1980</v>
      </c>
      <c r="G314">
        <v>26.97</v>
      </c>
      <c r="H314">
        <v>24.16</v>
      </c>
      <c r="I314">
        <v>41</v>
      </c>
      <c r="J314" t="s">
        <v>17</v>
      </c>
      <c r="K314" s="14">
        <f>COUNTIFS(B:B,"Alpha_Inc",E:E,"Delivered")/COUNTIF(B:B,"Alpha_Inc")</f>
        <v>0.75886524822695034</v>
      </c>
      <c r="L314" s="15">
        <v>47836.800000000003</v>
      </c>
      <c r="M314" s="15">
        <v>5563.8</v>
      </c>
      <c r="N314" s="14">
        <f t="shared" si="8"/>
        <v>2.0707070707070709E-2</v>
      </c>
      <c r="O314" s="1">
        <v>0.94</v>
      </c>
      <c r="P314" s="1">
        <f t="shared" si="9"/>
        <v>0.10418984056358913</v>
      </c>
    </row>
    <row r="315" spans="1:16" x14ac:dyDescent="0.45">
      <c r="A315" t="s">
        <v>29</v>
      </c>
      <c r="B315" t="s">
        <v>30</v>
      </c>
      <c r="C315">
        <v>2022</v>
      </c>
      <c r="D315" t="s">
        <v>27</v>
      </c>
      <c r="E315" t="s">
        <v>20</v>
      </c>
      <c r="F315">
        <v>1584</v>
      </c>
      <c r="G315">
        <v>16.46</v>
      </c>
      <c r="H315">
        <v>14.2</v>
      </c>
      <c r="I315">
        <v>57</v>
      </c>
      <c r="J315" t="s">
        <v>17</v>
      </c>
      <c r="K315" s="14">
        <f>COUNTIFS(B:B,"Epsilon_Group",E:E,"Delivered") / COUNTIF(B:B,"Epsilon_Group")</f>
        <v>0.72289156626506024</v>
      </c>
      <c r="L315" s="15">
        <v>22492.799999999999</v>
      </c>
      <c r="M315" s="15">
        <v>3579.84</v>
      </c>
      <c r="N315" s="14">
        <f t="shared" si="8"/>
        <v>3.5984848484848488E-2</v>
      </c>
      <c r="O315" s="1">
        <v>0.98</v>
      </c>
      <c r="P315" s="1">
        <f t="shared" si="9"/>
        <v>0.1373025516403403</v>
      </c>
    </row>
    <row r="316" spans="1:16" x14ac:dyDescent="0.45">
      <c r="A316" t="s">
        <v>24</v>
      </c>
      <c r="B316" t="s">
        <v>25</v>
      </c>
      <c r="C316">
        <v>2022</v>
      </c>
      <c r="D316" t="s">
        <v>15</v>
      </c>
      <c r="E316" t="s">
        <v>20</v>
      </c>
      <c r="F316">
        <v>801</v>
      </c>
      <c r="G316">
        <v>80.150000000000006</v>
      </c>
      <c r="H316">
        <v>70.91</v>
      </c>
      <c r="I316">
        <v>105</v>
      </c>
      <c r="J316" t="s">
        <v>17</v>
      </c>
      <c r="K316" s="14">
        <f>COUNTIFS(B:B,"Beta_Supplies",E:E,"Delivered") / COUNTIF(B:B,"Beta_Supplies")</f>
        <v>0.70512820512820518</v>
      </c>
      <c r="L316" s="15">
        <v>56798.91</v>
      </c>
      <c r="M316" s="15">
        <v>7401.24</v>
      </c>
      <c r="N316" s="14">
        <f t="shared" si="8"/>
        <v>0.13108614232209737</v>
      </c>
      <c r="O316" s="1">
        <v>0.76</v>
      </c>
      <c r="P316" s="1">
        <f t="shared" si="9"/>
        <v>0.11528384279475994</v>
      </c>
    </row>
    <row r="317" spans="1:16" x14ac:dyDescent="0.45">
      <c r="A317" t="s">
        <v>24</v>
      </c>
      <c r="B317" t="s">
        <v>25</v>
      </c>
      <c r="C317">
        <v>2022</v>
      </c>
      <c r="D317" t="s">
        <v>26</v>
      </c>
      <c r="E317" t="s">
        <v>20</v>
      </c>
      <c r="F317">
        <v>193</v>
      </c>
      <c r="G317">
        <v>63.86</v>
      </c>
      <c r="H317">
        <v>57.46</v>
      </c>
      <c r="I317">
        <v>105</v>
      </c>
      <c r="J317" t="s">
        <v>17</v>
      </c>
      <c r="K317" s="14">
        <f>COUNTIFS(B:B,"Beta_Supplies",E:E,"Delivered") / COUNTIF(B:B,"Beta_Supplies")</f>
        <v>0.70512820512820518</v>
      </c>
      <c r="L317" s="15">
        <v>11089.78</v>
      </c>
      <c r="M317" s="15">
        <v>1235.2</v>
      </c>
      <c r="N317" s="14">
        <f t="shared" si="8"/>
        <v>0.54404145077720212</v>
      </c>
      <c r="O317" s="1">
        <v>0.76</v>
      </c>
      <c r="P317" s="1">
        <f t="shared" si="9"/>
        <v>0.1002192295646727</v>
      </c>
    </row>
    <row r="318" spans="1:16" x14ac:dyDescent="0.45">
      <c r="A318" t="s">
        <v>24</v>
      </c>
      <c r="B318" t="s">
        <v>25</v>
      </c>
      <c r="C318">
        <v>2022</v>
      </c>
      <c r="D318" t="s">
        <v>27</v>
      </c>
      <c r="E318" t="s">
        <v>20</v>
      </c>
      <c r="F318">
        <v>658</v>
      </c>
      <c r="G318">
        <v>86.62</v>
      </c>
      <c r="H318">
        <v>79.849999999999994</v>
      </c>
      <c r="I318">
        <v>72</v>
      </c>
      <c r="J318" t="s">
        <v>17</v>
      </c>
      <c r="K318" s="14">
        <f>COUNTIFS(B:B,"Beta_Supplies",E:E,"Delivered") / COUNTIF(B:B,"Beta_Supplies")</f>
        <v>0.70512820512820518</v>
      </c>
      <c r="L318" s="15">
        <v>52541.3</v>
      </c>
      <c r="M318" s="15">
        <v>4454.66</v>
      </c>
      <c r="N318" s="14">
        <f t="shared" si="8"/>
        <v>0.10942249240121581</v>
      </c>
      <c r="O318" s="1">
        <v>0.76</v>
      </c>
      <c r="P318" s="1">
        <f t="shared" si="9"/>
        <v>7.8157469406603675E-2</v>
      </c>
    </row>
    <row r="319" spans="1:16" x14ac:dyDescent="0.45">
      <c r="A319" t="s">
        <v>29</v>
      </c>
      <c r="B319" t="s">
        <v>30</v>
      </c>
      <c r="C319">
        <v>2023</v>
      </c>
      <c r="D319" t="s">
        <v>33</v>
      </c>
      <c r="E319" t="s">
        <v>20</v>
      </c>
      <c r="F319">
        <v>1274</v>
      </c>
      <c r="G319">
        <v>24.72</v>
      </c>
      <c r="H319">
        <v>23.36</v>
      </c>
      <c r="I319">
        <v>37</v>
      </c>
      <c r="J319" t="s">
        <v>17</v>
      </c>
      <c r="K319" s="14">
        <f>COUNTIFS(B:B,"Epsilon_Group",E:E,"Delivered") / COUNTIF(B:B,"Epsilon_Group")</f>
        <v>0.72289156626506024</v>
      </c>
      <c r="L319" s="15">
        <v>29760.639999999999</v>
      </c>
      <c r="M319" s="15">
        <v>1732.64</v>
      </c>
      <c r="N319" s="14">
        <f t="shared" si="8"/>
        <v>2.9042386185243328E-2</v>
      </c>
      <c r="O319" s="1">
        <v>0.98</v>
      </c>
      <c r="P319" s="1">
        <f t="shared" si="9"/>
        <v>5.5016181229773441E-2</v>
      </c>
    </row>
    <row r="320" spans="1:16" x14ac:dyDescent="0.45">
      <c r="A320" t="s">
        <v>29</v>
      </c>
      <c r="B320" t="s">
        <v>30</v>
      </c>
      <c r="C320">
        <v>2023</v>
      </c>
      <c r="D320" t="s">
        <v>26</v>
      </c>
      <c r="E320" t="s">
        <v>31</v>
      </c>
      <c r="F320">
        <v>1197</v>
      </c>
      <c r="G320">
        <v>88.92</v>
      </c>
      <c r="H320">
        <v>78.819999999999993</v>
      </c>
      <c r="I320">
        <v>31</v>
      </c>
      <c r="J320" t="s">
        <v>17</v>
      </c>
      <c r="K320" s="14">
        <f>COUNTIFS(B:B,"Epsilon_Group",E:E,"Partially Delivered") / COUNTIF(B:B,"Epsilon_Group")</f>
        <v>8.4337349397590355E-2</v>
      </c>
      <c r="L320" s="15">
        <v>94347.54</v>
      </c>
      <c r="M320" s="15">
        <v>12089.7</v>
      </c>
      <c r="N320" s="14">
        <f t="shared" si="8"/>
        <v>2.5898078529657476E-2</v>
      </c>
      <c r="O320" s="1">
        <v>0.98</v>
      </c>
      <c r="P320" s="1">
        <f t="shared" si="9"/>
        <v>0.11358524516419263</v>
      </c>
    </row>
    <row r="321" spans="1:16" x14ac:dyDescent="0.45">
      <c r="A321" t="s">
        <v>21</v>
      </c>
      <c r="B321" t="s">
        <v>22</v>
      </c>
      <c r="C321">
        <v>2022</v>
      </c>
      <c r="D321" t="s">
        <v>33</v>
      </c>
      <c r="E321" t="s">
        <v>20</v>
      </c>
      <c r="F321">
        <v>236</v>
      </c>
      <c r="G321">
        <v>28.43</v>
      </c>
      <c r="H321">
        <v>28.11</v>
      </c>
      <c r="I321">
        <v>11</v>
      </c>
      <c r="J321" t="s">
        <v>17</v>
      </c>
      <c r="K321" s="14">
        <f>COUNTIFS(B:B,"Gamma_Co",E:E,"Delivered") / COUNTIF(B:B,"Gamma_Co")</f>
        <v>0.72027972027972031</v>
      </c>
      <c r="L321" s="15">
        <v>6633.96</v>
      </c>
      <c r="M321" s="15">
        <v>75.52</v>
      </c>
      <c r="N321" s="14">
        <f t="shared" si="8"/>
        <v>4.6610169491525424E-2</v>
      </c>
      <c r="O321" s="1">
        <v>0.86</v>
      </c>
      <c r="P321" s="1">
        <f t="shared" si="9"/>
        <v>1.1255715793176232E-2</v>
      </c>
    </row>
    <row r="322" spans="1:16" x14ac:dyDescent="0.45">
      <c r="A322" t="s">
        <v>21</v>
      </c>
      <c r="B322" t="s">
        <v>22</v>
      </c>
      <c r="C322">
        <v>2022</v>
      </c>
      <c r="D322" t="s">
        <v>27</v>
      </c>
      <c r="E322" t="s">
        <v>31</v>
      </c>
      <c r="F322">
        <v>1399</v>
      </c>
      <c r="G322">
        <v>25.97</v>
      </c>
      <c r="H322">
        <v>22.19</v>
      </c>
      <c r="I322">
        <v>62</v>
      </c>
      <c r="J322" t="s">
        <v>17</v>
      </c>
      <c r="K322" s="14">
        <f>COUNTIFS(B:B,"Gamma_Co",E:E,"Partially Delivered") / COUNTIF(B:B,"Gamma_Co")</f>
        <v>0.12587412587412589</v>
      </c>
      <c r="L322" s="15">
        <v>31043.81</v>
      </c>
      <c r="M322" s="15">
        <v>5288.22</v>
      </c>
      <c r="N322" s="14">
        <f t="shared" ref="N322:N385" si="10">I322/F322</f>
        <v>4.431736954967834E-2</v>
      </c>
      <c r="O322" s="1">
        <v>0.86</v>
      </c>
      <c r="P322" s="1">
        <f t="shared" si="9"/>
        <v>0.14555256064690017</v>
      </c>
    </row>
    <row r="323" spans="1:16" x14ac:dyDescent="0.45">
      <c r="A323" t="s">
        <v>21</v>
      </c>
      <c r="B323" t="s">
        <v>22</v>
      </c>
      <c r="C323">
        <v>2022</v>
      </c>
      <c r="D323" t="s">
        <v>33</v>
      </c>
      <c r="E323" t="s">
        <v>20</v>
      </c>
      <c r="F323">
        <v>513</v>
      </c>
      <c r="G323">
        <v>24.91</v>
      </c>
      <c r="H323">
        <v>22.58</v>
      </c>
      <c r="I323">
        <v>29</v>
      </c>
      <c r="J323" t="s">
        <v>17</v>
      </c>
      <c r="K323" s="14">
        <f>COUNTIFS(B:B,"Gamma_Co",E:E,"Delivered") / COUNTIF(B:B,"Gamma_Co")</f>
        <v>0.72027972027972031</v>
      </c>
      <c r="L323" s="15">
        <v>11583.54</v>
      </c>
      <c r="M323" s="15">
        <v>1195.29</v>
      </c>
      <c r="N323" s="14">
        <f t="shared" si="10"/>
        <v>5.6530214424951264E-2</v>
      </c>
      <c r="O323" s="1">
        <v>0.86</v>
      </c>
      <c r="P323" s="1">
        <f t="shared" ref="P323:P386" si="11">((G323-H323)/G323)</f>
        <v>9.3536732236049858E-2</v>
      </c>
    </row>
    <row r="324" spans="1:16" x14ac:dyDescent="0.45">
      <c r="A324" t="s">
        <v>18</v>
      </c>
      <c r="B324" t="s">
        <v>19</v>
      </c>
      <c r="C324">
        <v>2022</v>
      </c>
      <c r="D324" t="s">
        <v>23</v>
      </c>
      <c r="E324" t="s">
        <v>20</v>
      </c>
      <c r="F324">
        <v>1422</v>
      </c>
      <c r="G324">
        <v>83.73</v>
      </c>
      <c r="H324">
        <v>76.47</v>
      </c>
      <c r="I324">
        <v>198</v>
      </c>
      <c r="J324" t="s">
        <v>17</v>
      </c>
      <c r="K324" s="14">
        <f>COUNTIFS(B:B,"Delta_Logistics",E:E,"Delivered") / COUNTIF(B:B,"Delta_Logistics")</f>
        <v>0.70175438596491224</v>
      </c>
      <c r="L324" s="15">
        <v>108740.34</v>
      </c>
      <c r="M324" s="15">
        <v>10323.719999999999</v>
      </c>
      <c r="N324" s="14">
        <f t="shared" si="10"/>
        <v>0.13924050632911392</v>
      </c>
      <c r="O324" s="1">
        <v>0.61</v>
      </c>
      <c r="P324" s="1">
        <f t="shared" si="11"/>
        <v>8.6707273378717364E-2</v>
      </c>
    </row>
    <row r="325" spans="1:16" x14ac:dyDescent="0.45">
      <c r="A325" t="s">
        <v>13</v>
      </c>
      <c r="B325" t="s">
        <v>14</v>
      </c>
      <c r="C325">
        <v>2023</v>
      </c>
      <c r="D325" t="s">
        <v>15</v>
      </c>
      <c r="E325" t="s">
        <v>20</v>
      </c>
      <c r="F325">
        <v>1844</v>
      </c>
      <c r="G325">
        <v>76.510000000000005</v>
      </c>
      <c r="H325">
        <v>73.05</v>
      </c>
      <c r="I325">
        <v>24</v>
      </c>
      <c r="J325" t="s">
        <v>17</v>
      </c>
      <c r="K325" s="14">
        <f>COUNTIFS(B:B,"Alpha_Inc",E:E,"Delivered")/COUNTIF(B:B,"Alpha_Inc")</f>
        <v>0.75886524822695034</v>
      </c>
      <c r="L325" s="15">
        <v>134704.20000000001</v>
      </c>
      <c r="M325" s="15">
        <v>6380.24</v>
      </c>
      <c r="N325" s="14">
        <f t="shared" si="10"/>
        <v>1.3015184381778741E-2</v>
      </c>
      <c r="O325" s="1">
        <v>0.94</v>
      </c>
      <c r="P325" s="1">
        <f t="shared" si="11"/>
        <v>4.5222846686707723E-2</v>
      </c>
    </row>
    <row r="326" spans="1:16" x14ac:dyDescent="0.45">
      <c r="A326" t="s">
        <v>21</v>
      </c>
      <c r="B326" t="s">
        <v>22</v>
      </c>
      <c r="C326">
        <v>2023</v>
      </c>
      <c r="D326" t="s">
        <v>33</v>
      </c>
      <c r="E326" t="s">
        <v>20</v>
      </c>
      <c r="F326">
        <v>709</v>
      </c>
      <c r="G326">
        <v>61.64</v>
      </c>
      <c r="H326">
        <v>54.55</v>
      </c>
      <c r="I326">
        <v>41</v>
      </c>
      <c r="J326" t="s">
        <v>17</v>
      </c>
      <c r="K326" s="14">
        <f>COUNTIFS(B:B,"Gamma_Co",E:E,"Delivered") / COUNTIF(B:B,"Gamma_Co")</f>
        <v>0.72027972027972031</v>
      </c>
      <c r="L326" s="15">
        <v>38675.949999999997</v>
      </c>
      <c r="M326" s="15">
        <v>5026.8100000000004</v>
      </c>
      <c r="N326" s="14">
        <f t="shared" si="10"/>
        <v>5.7827926657263752E-2</v>
      </c>
      <c r="O326" s="1">
        <v>0.86</v>
      </c>
      <c r="P326" s="1">
        <f t="shared" si="11"/>
        <v>0.11502271252433491</v>
      </c>
    </row>
    <row r="327" spans="1:16" x14ac:dyDescent="0.45">
      <c r="A327" t="s">
        <v>18</v>
      </c>
      <c r="B327" t="s">
        <v>19</v>
      </c>
      <c r="C327">
        <v>2023</v>
      </c>
      <c r="D327" t="s">
        <v>23</v>
      </c>
      <c r="E327" t="s">
        <v>20</v>
      </c>
      <c r="F327">
        <v>813</v>
      </c>
      <c r="G327">
        <v>45.68</v>
      </c>
      <c r="H327">
        <v>41.78</v>
      </c>
      <c r="I327">
        <v>155</v>
      </c>
      <c r="J327" t="s">
        <v>28</v>
      </c>
      <c r="K327" s="14">
        <f>COUNTIFS(B:B,"Delta_Logistics",E:E,"Delivered") / COUNTIF(B:B,"Delta_Logistics")</f>
        <v>0.70175438596491224</v>
      </c>
      <c r="L327" s="15">
        <v>33967.14</v>
      </c>
      <c r="M327" s="15">
        <v>3170.7</v>
      </c>
      <c r="N327" s="14">
        <f t="shared" si="10"/>
        <v>0.19065190651906519</v>
      </c>
      <c r="O327" s="1">
        <v>0.39</v>
      </c>
      <c r="P327" s="1">
        <f t="shared" si="11"/>
        <v>8.5376532399299446E-2</v>
      </c>
    </row>
    <row r="328" spans="1:16" x14ac:dyDescent="0.45">
      <c r="A328" t="s">
        <v>18</v>
      </c>
      <c r="B328" t="s">
        <v>19</v>
      </c>
      <c r="C328">
        <v>2023</v>
      </c>
      <c r="D328" t="s">
        <v>15</v>
      </c>
      <c r="E328" t="s">
        <v>20</v>
      </c>
      <c r="F328">
        <v>1004</v>
      </c>
      <c r="G328">
        <v>96.51</v>
      </c>
      <c r="H328">
        <v>92.9</v>
      </c>
      <c r="I328">
        <v>146</v>
      </c>
      <c r="J328" t="s">
        <v>28</v>
      </c>
      <c r="K328" s="14">
        <f>COUNTIFS(B:B,"Delta_Logistics",E:E,"Delivered") / COUNTIF(B:B,"Delta_Logistics")</f>
        <v>0.70175438596491224</v>
      </c>
      <c r="L328" s="15">
        <v>93271.6</v>
      </c>
      <c r="M328" s="15">
        <v>3624.44</v>
      </c>
      <c r="N328" s="14">
        <f t="shared" si="10"/>
        <v>0.1454183266932271</v>
      </c>
      <c r="O328" s="1">
        <v>0.39</v>
      </c>
      <c r="P328" s="1">
        <f t="shared" si="11"/>
        <v>3.7405450212413212E-2</v>
      </c>
    </row>
    <row r="329" spans="1:16" x14ac:dyDescent="0.45">
      <c r="A329" t="s">
        <v>29</v>
      </c>
      <c r="B329" t="s">
        <v>30</v>
      </c>
      <c r="C329">
        <v>2022</v>
      </c>
      <c r="D329" t="s">
        <v>27</v>
      </c>
      <c r="E329" t="s">
        <v>20</v>
      </c>
      <c r="F329">
        <v>452</v>
      </c>
      <c r="G329">
        <v>46.45</v>
      </c>
      <c r="H329">
        <v>40.39</v>
      </c>
      <c r="I329">
        <v>9</v>
      </c>
      <c r="J329" t="s">
        <v>17</v>
      </c>
      <c r="K329" s="14">
        <f>COUNTIFS(B:B,"Epsilon_Group",E:E,"Delivered") / COUNTIF(B:B,"Epsilon_Group")</f>
        <v>0.72289156626506024</v>
      </c>
      <c r="L329" s="15">
        <v>18256.28</v>
      </c>
      <c r="M329" s="15">
        <v>2739.12</v>
      </c>
      <c r="N329" s="14">
        <f t="shared" si="10"/>
        <v>1.9911504424778761E-2</v>
      </c>
      <c r="O329" s="1">
        <v>0.98</v>
      </c>
      <c r="P329" s="1">
        <f t="shared" si="11"/>
        <v>0.13046286329386442</v>
      </c>
    </row>
    <row r="330" spans="1:16" x14ac:dyDescent="0.45">
      <c r="A330" t="s">
        <v>24</v>
      </c>
      <c r="B330" t="s">
        <v>25</v>
      </c>
      <c r="C330">
        <v>2022</v>
      </c>
      <c r="D330" t="s">
        <v>27</v>
      </c>
      <c r="E330" t="s">
        <v>32</v>
      </c>
      <c r="F330">
        <v>1419</v>
      </c>
      <c r="G330">
        <v>83.91</v>
      </c>
      <c r="H330">
        <v>71.459999999999994</v>
      </c>
      <c r="I330">
        <v>137</v>
      </c>
      <c r="J330" t="s">
        <v>17</v>
      </c>
      <c r="K330" s="14">
        <f>COUNTIFS(B:B,"Beta_Supplies",E:E,"Pending") / COUNTIF(B:B,"Beta_Supplies")</f>
        <v>0.12179487179487179</v>
      </c>
      <c r="L330" s="15">
        <v>101401.74</v>
      </c>
      <c r="M330" s="15">
        <v>17666.55</v>
      </c>
      <c r="N330" s="14">
        <f t="shared" si="10"/>
        <v>9.654686398872446E-2</v>
      </c>
      <c r="O330" s="1">
        <v>0.76</v>
      </c>
      <c r="P330" s="1">
        <f t="shared" si="11"/>
        <v>0.14837325706113696</v>
      </c>
    </row>
    <row r="331" spans="1:16" x14ac:dyDescent="0.45">
      <c r="A331" t="s">
        <v>24</v>
      </c>
      <c r="B331" t="s">
        <v>25</v>
      </c>
      <c r="C331">
        <v>2023</v>
      </c>
      <c r="D331" t="s">
        <v>26</v>
      </c>
      <c r="E331" t="s">
        <v>20</v>
      </c>
      <c r="F331">
        <v>1584</v>
      </c>
      <c r="G331">
        <v>53.73</v>
      </c>
      <c r="H331">
        <v>51.92</v>
      </c>
      <c r="I331">
        <v>167</v>
      </c>
      <c r="J331" t="s">
        <v>28</v>
      </c>
      <c r="K331" s="14">
        <f>COUNTIFS(B:B,"Beta_Supplies",E:E,"Delivered") / COUNTIF(B:B,"Beta_Supplies")</f>
        <v>0.70512820512820518</v>
      </c>
      <c r="L331" s="15">
        <v>82241.279999999999</v>
      </c>
      <c r="M331" s="15">
        <v>2867.04</v>
      </c>
      <c r="N331" s="14">
        <f t="shared" si="10"/>
        <v>0.10542929292929293</v>
      </c>
      <c r="O331" s="1">
        <v>0.24</v>
      </c>
      <c r="P331" s="1">
        <f t="shared" si="11"/>
        <v>3.3686953284943144E-2</v>
      </c>
    </row>
    <row r="332" spans="1:16" x14ac:dyDescent="0.45">
      <c r="A332" t="s">
        <v>21</v>
      </c>
      <c r="B332" t="s">
        <v>22</v>
      </c>
      <c r="C332">
        <v>2022</v>
      </c>
      <c r="D332" t="s">
        <v>23</v>
      </c>
      <c r="E332" t="s">
        <v>32</v>
      </c>
      <c r="F332">
        <v>196</v>
      </c>
      <c r="G332">
        <v>44.36</v>
      </c>
      <c r="H332">
        <v>43.81</v>
      </c>
      <c r="I332">
        <v>6</v>
      </c>
      <c r="J332" t="s">
        <v>17</v>
      </c>
      <c r="K332" s="14">
        <f>COUNTIFS(B:B,"Gamma_Co",E:E,"Pending") / COUNTIF(B:B,"Gamma_Co")</f>
        <v>0.11188811188811189</v>
      </c>
      <c r="L332" s="15">
        <v>8586.76</v>
      </c>
      <c r="M332" s="15">
        <v>107.8</v>
      </c>
      <c r="N332" s="14">
        <f t="shared" si="10"/>
        <v>3.0612244897959183E-2</v>
      </c>
      <c r="O332" s="1">
        <v>0.86</v>
      </c>
      <c r="P332" s="1">
        <f t="shared" si="11"/>
        <v>1.239855725879164E-2</v>
      </c>
    </row>
    <row r="333" spans="1:16" x14ac:dyDescent="0.45">
      <c r="A333" t="s">
        <v>13</v>
      </c>
      <c r="B333" t="s">
        <v>14</v>
      </c>
      <c r="C333">
        <v>2022</v>
      </c>
      <c r="D333" t="s">
        <v>15</v>
      </c>
      <c r="E333" t="s">
        <v>20</v>
      </c>
      <c r="F333">
        <v>1221</v>
      </c>
      <c r="G333">
        <v>53.19</v>
      </c>
      <c r="H333">
        <v>46.18</v>
      </c>
      <c r="I333">
        <v>29</v>
      </c>
      <c r="J333" t="s">
        <v>17</v>
      </c>
      <c r="K333" s="14">
        <f>COUNTIFS(B:B,"Alpha_Inc",E:E,"Delivered")/COUNTIF(B:B,"Alpha_Inc")</f>
        <v>0.75886524822695034</v>
      </c>
      <c r="L333" s="15">
        <v>56385.78</v>
      </c>
      <c r="M333" s="15">
        <v>8559.2099999999991</v>
      </c>
      <c r="N333" s="14">
        <f t="shared" si="10"/>
        <v>2.375102375102375E-2</v>
      </c>
      <c r="O333" s="1">
        <v>0.94</v>
      </c>
      <c r="P333" s="1">
        <f t="shared" si="11"/>
        <v>0.13179169016732464</v>
      </c>
    </row>
    <row r="334" spans="1:16" x14ac:dyDescent="0.45">
      <c r="A334" t="s">
        <v>13</v>
      </c>
      <c r="B334" t="s">
        <v>14</v>
      </c>
      <c r="C334">
        <v>2022</v>
      </c>
      <c r="D334" t="s">
        <v>26</v>
      </c>
      <c r="E334" t="s">
        <v>20</v>
      </c>
      <c r="F334">
        <v>913</v>
      </c>
      <c r="G334">
        <v>37.5</v>
      </c>
      <c r="H334">
        <v>36.200000000000003</v>
      </c>
      <c r="I334">
        <v>24</v>
      </c>
      <c r="J334" t="s">
        <v>17</v>
      </c>
      <c r="K334" s="14">
        <f>COUNTIFS(B:B,"Alpha_Inc",E:E,"Delivered")/COUNTIF(B:B,"Alpha_Inc")</f>
        <v>0.75886524822695034</v>
      </c>
      <c r="L334" s="15">
        <v>33050.6</v>
      </c>
      <c r="M334" s="15">
        <v>1186.9000000000001</v>
      </c>
      <c r="N334" s="14">
        <f t="shared" si="10"/>
        <v>2.628696604600219E-2</v>
      </c>
      <c r="O334" s="1">
        <v>0.94</v>
      </c>
      <c r="P334" s="1">
        <f t="shared" si="11"/>
        <v>3.4666666666666589E-2</v>
      </c>
    </row>
    <row r="335" spans="1:16" x14ac:dyDescent="0.45">
      <c r="A335" t="s">
        <v>13</v>
      </c>
      <c r="B335" t="s">
        <v>14</v>
      </c>
      <c r="C335">
        <v>2023</v>
      </c>
      <c r="D335" t="s">
        <v>26</v>
      </c>
      <c r="E335" t="s">
        <v>20</v>
      </c>
      <c r="F335">
        <v>1784</v>
      </c>
      <c r="G335">
        <v>85.01</v>
      </c>
      <c r="H335">
        <v>76.69</v>
      </c>
      <c r="I335">
        <v>37</v>
      </c>
      <c r="J335" t="s">
        <v>17</v>
      </c>
      <c r="K335" s="14">
        <f>COUNTIFS(B:B,"Alpha_Inc",E:E,"Delivered")/COUNTIF(B:B,"Alpha_Inc")</f>
        <v>0.75886524822695034</v>
      </c>
      <c r="L335" s="15">
        <v>136814.96</v>
      </c>
      <c r="M335" s="15">
        <v>14842.88</v>
      </c>
      <c r="N335" s="14">
        <f t="shared" si="10"/>
        <v>2.0739910313901346E-2</v>
      </c>
      <c r="O335" s="1">
        <v>0.94</v>
      </c>
      <c r="P335" s="1">
        <f t="shared" si="11"/>
        <v>9.7870838724855982E-2</v>
      </c>
    </row>
    <row r="336" spans="1:16" x14ac:dyDescent="0.45">
      <c r="A336" t="s">
        <v>18</v>
      </c>
      <c r="B336" t="s">
        <v>19</v>
      </c>
      <c r="C336">
        <v>2022</v>
      </c>
      <c r="D336" t="s">
        <v>27</v>
      </c>
      <c r="E336" t="s">
        <v>20</v>
      </c>
      <c r="F336">
        <v>1893</v>
      </c>
      <c r="G336">
        <v>55.8</v>
      </c>
      <c r="H336">
        <v>52.35</v>
      </c>
      <c r="I336">
        <v>155</v>
      </c>
      <c r="J336" t="s">
        <v>17</v>
      </c>
      <c r="K336" s="14">
        <f>COUNTIFS(B:B,"Delta_Logistics",E:E,"Delivered") / COUNTIF(B:B,"Delta_Logistics")</f>
        <v>0.70175438596491224</v>
      </c>
      <c r="L336" s="15">
        <v>99098.55</v>
      </c>
      <c r="M336" s="15">
        <v>6530.85</v>
      </c>
      <c r="N336" s="14">
        <f t="shared" si="10"/>
        <v>8.1880612783940834E-2</v>
      </c>
      <c r="O336" s="1">
        <v>0.61</v>
      </c>
      <c r="P336" s="1">
        <f t="shared" si="11"/>
        <v>6.1827956989247236E-2</v>
      </c>
    </row>
    <row r="337" spans="1:16" x14ac:dyDescent="0.45">
      <c r="A337" t="s">
        <v>18</v>
      </c>
      <c r="B337" t="s">
        <v>19</v>
      </c>
      <c r="C337">
        <v>2023</v>
      </c>
      <c r="D337" t="s">
        <v>33</v>
      </c>
      <c r="E337" t="s">
        <v>32</v>
      </c>
      <c r="F337">
        <v>538</v>
      </c>
      <c r="G337">
        <v>34.299999999999997</v>
      </c>
      <c r="H337">
        <v>32.25</v>
      </c>
      <c r="I337">
        <v>84</v>
      </c>
      <c r="J337" t="s">
        <v>28</v>
      </c>
      <c r="K337" s="14">
        <f>COUNTIFS(B:B,"Delta_Logistics",E:E,"Pending") / COUNTIF(B:B,"Delta_Logistics")</f>
        <v>9.9415204678362568E-2</v>
      </c>
      <c r="L337" s="15">
        <v>17350.5</v>
      </c>
      <c r="M337" s="15">
        <v>1102.9000000000001</v>
      </c>
      <c r="N337" s="14">
        <f t="shared" si="10"/>
        <v>0.15613382899628253</v>
      </c>
      <c r="O337" s="1">
        <v>0.39</v>
      </c>
      <c r="P337" s="1">
        <f t="shared" si="11"/>
        <v>5.9766763848396423E-2</v>
      </c>
    </row>
    <row r="338" spans="1:16" x14ac:dyDescent="0.45">
      <c r="A338" t="s">
        <v>18</v>
      </c>
      <c r="B338" t="s">
        <v>19</v>
      </c>
      <c r="C338">
        <v>2022</v>
      </c>
      <c r="D338" t="s">
        <v>15</v>
      </c>
      <c r="E338" t="s">
        <v>32</v>
      </c>
      <c r="F338">
        <v>978</v>
      </c>
      <c r="G338">
        <v>94.15</v>
      </c>
      <c r="H338">
        <v>87.7</v>
      </c>
      <c r="I338">
        <v>149</v>
      </c>
      <c r="J338" t="s">
        <v>28</v>
      </c>
      <c r="K338" s="14">
        <f>COUNTIFS(B:B,"Delta_Logistics",E:E,"Pending") / COUNTIF(B:B,"Delta_Logistics")</f>
        <v>9.9415204678362568E-2</v>
      </c>
      <c r="L338" s="15">
        <v>85770.6</v>
      </c>
      <c r="M338" s="15">
        <v>6308.1</v>
      </c>
      <c r="N338" s="14">
        <f t="shared" si="10"/>
        <v>0.15235173824130879</v>
      </c>
      <c r="O338" s="1">
        <v>0.39</v>
      </c>
      <c r="P338" s="1">
        <f t="shared" si="11"/>
        <v>6.8507700477960731E-2</v>
      </c>
    </row>
    <row r="339" spans="1:16" x14ac:dyDescent="0.45">
      <c r="A339" t="s">
        <v>29</v>
      </c>
      <c r="B339" t="s">
        <v>30</v>
      </c>
      <c r="C339">
        <v>2023</v>
      </c>
      <c r="D339" t="s">
        <v>27</v>
      </c>
      <c r="E339" t="s">
        <v>16</v>
      </c>
      <c r="F339">
        <v>1713</v>
      </c>
      <c r="G339">
        <v>47.45</v>
      </c>
      <c r="H339">
        <v>42.05</v>
      </c>
      <c r="I339">
        <v>53</v>
      </c>
      <c r="J339" t="s">
        <v>17</v>
      </c>
      <c r="K339" s="14">
        <f>COUNTIFS(B:B,"Epsilon_Group",E:E,"Cancelled") / COUNTIF(B:B,"Epsilon_Group")</f>
        <v>8.4337349397590355E-2</v>
      </c>
      <c r="L339" s="15">
        <v>72031.649999999994</v>
      </c>
      <c r="M339" s="15">
        <v>9250.2000000000007</v>
      </c>
      <c r="N339" s="14">
        <f t="shared" si="10"/>
        <v>3.0939871570344425E-2</v>
      </c>
      <c r="O339" s="1">
        <v>0.98</v>
      </c>
      <c r="P339" s="1">
        <f t="shared" si="11"/>
        <v>0.11380400421496323</v>
      </c>
    </row>
    <row r="340" spans="1:16" x14ac:dyDescent="0.45">
      <c r="A340" t="s">
        <v>18</v>
      </c>
      <c r="B340" t="s">
        <v>19</v>
      </c>
      <c r="C340">
        <v>2022</v>
      </c>
      <c r="D340" t="s">
        <v>27</v>
      </c>
      <c r="E340" t="s">
        <v>32</v>
      </c>
      <c r="F340">
        <v>600</v>
      </c>
      <c r="G340">
        <v>60.1</v>
      </c>
      <c r="H340">
        <v>57.92</v>
      </c>
      <c r="I340">
        <v>95</v>
      </c>
      <c r="J340" t="s">
        <v>28</v>
      </c>
      <c r="K340" s="14">
        <f>COUNTIFS(B:B,"Delta_Logistics",E:E,"Pending") / COUNTIF(B:B,"Delta_Logistics")</f>
        <v>9.9415204678362568E-2</v>
      </c>
      <c r="L340" s="15">
        <v>34752</v>
      </c>
      <c r="M340" s="15">
        <v>1308</v>
      </c>
      <c r="N340" s="14">
        <f t="shared" si="10"/>
        <v>0.15833333333333333</v>
      </c>
      <c r="O340" s="1">
        <v>0.39</v>
      </c>
      <c r="P340" s="1">
        <f t="shared" si="11"/>
        <v>3.6272878535773705E-2</v>
      </c>
    </row>
    <row r="341" spans="1:16" x14ac:dyDescent="0.45">
      <c r="A341" t="s">
        <v>13</v>
      </c>
      <c r="B341" t="s">
        <v>14</v>
      </c>
      <c r="C341">
        <v>2023</v>
      </c>
      <c r="D341" t="s">
        <v>33</v>
      </c>
      <c r="E341" t="s">
        <v>32</v>
      </c>
      <c r="F341">
        <v>387</v>
      </c>
      <c r="G341">
        <v>100.28</v>
      </c>
      <c r="H341">
        <v>85.54</v>
      </c>
      <c r="I341">
        <v>5</v>
      </c>
      <c r="J341" t="s">
        <v>17</v>
      </c>
      <c r="K341" s="14">
        <f>COUNTIFS(B:B,"Alpha_Inc",E:E,"Pending")/COUNTIF(B:B,"Alpha_Inc")</f>
        <v>7.8014184397163122E-2</v>
      </c>
      <c r="L341" s="15">
        <v>33103.980000000003</v>
      </c>
      <c r="M341" s="15">
        <v>5704.38</v>
      </c>
      <c r="N341" s="14">
        <f t="shared" si="10"/>
        <v>1.2919896640826873E-2</v>
      </c>
      <c r="O341" s="1">
        <v>0.94</v>
      </c>
      <c r="P341" s="1">
        <f t="shared" si="11"/>
        <v>0.14698843238930989</v>
      </c>
    </row>
    <row r="342" spans="1:16" x14ac:dyDescent="0.45">
      <c r="A342" t="s">
        <v>13</v>
      </c>
      <c r="B342" t="s">
        <v>14</v>
      </c>
      <c r="C342">
        <v>2022</v>
      </c>
      <c r="D342" t="s">
        <v>23</v>
      </c>
      <c r="E342" t="s">
        <v>32</v>
      </c>
      <c r="F342">
        <v>921</v>
      </c>
      <c r="G342">
        <v>68.83</v>
      </c>
      <c r="H342">
        <v>59.13</v>
      </c>
      <c r="I342">
        <v>22</v>
      </c>
      <c r="J342" t="s">
        <v>17</v>
      </c>
      <c r="K342" s="14">
        <f>COUNTIFS(B:B,"Alpha_Inc",E:E,"Pending")/COUNTIF(B:B,"Alpha_Inc")</f>
        <v>7.8014184397163122E-2</v>
      </c>
      <c r="L342" s="15">
        <v>54458.73</v>
      </c>
      <c r="M342" s="15">
        <v>8933.7000000000007</v>
      </c>
      <c r="N342" s="14">
        <f t="shared" si="10"/>
        <v>2.3887079261672096E-2</v>
      </c>
      <c r="O342" s="1">
        <v>0.94</v>
      </c>
      <c r="P342" s="1">
        <f t="shared" si="11"/>
        <v>0.14092692140055202</v>
      </c>
    </row>
    <row r="343" spans="1:16" x14ac:dyDescent="0.45">
      <c r="A343" t="s">
        <v>24</v>
      </c>
      <c r="B343" t="s">
        <v>25</v>
      </c>
      <c r="C343">
        <v>2023</v>
      </c>
      <c r="D343" t="s">
        <v>23</v>
      </c>
      <c r="E343" t="s">
        <v>20</v>
      </c>
      <c r="F343">
        <v>690</v>
      </c>
      <c r="G343">
        <v>22.47</v>
      </c>
      <c r="H343">
        <v>21.94</v>
      </c>
      <c r="I343">
        <v>77</v>
      </c>
      <c r="J343" t="s">
        <v>17</v>
      </c>
      <c r="K343" s="14">
        <f>COUNTIFS(B:B,"Beta_Supplies",E:E,"Delivered") / COUNTIF(B:B,"Beta_Supplies")</f>
        <v>0.70512820512820518</v>
      </c>
      <c r="L343" s="15">
        <v>15138.6</v>
      </c>
      <c r="M343" s="15">
        <v>365.7</v>
      </c>
      <c r="N343" s="14">
        <f t="shared" si="10"/>
        <v>0.11159420289855072</v>
      </c>
      <c r="O343" s="1">
        <v>0.76</v>
      </c>
      <c r="P343" s="1">
        <f t="shared" si="11"/>
        <v>2.3587004895416003E-2</v>
      </c>
    </row>
    <row r="344" spans="1:16" x14ac:dyDescent="0.45">
      <c r="A344" t="s">
        <v>13</v>
      </c>
      <c r="B344" t="s">
        <v>14</v>
      </c>
      <c r="C344">
        <v>2023</v>
      </c>
      <c r="D344" t="s">
        <v>15</v>
      </c>
      <c r="E344" t="s">
        <v>16</v>
      </c>
      <c r="F344">
        <v>1852</v>
      </c>
      <c r="G344">
        <v>104.04</v>
      </c>
      <c r="H344">
        <v>94.89</v>
      </c>
      <c r="I344">
        <v>36</v>
      </c>
      <c r="J344" t="s">
        <v>17</v>
      </c>
      <c r="K344" s="14">
        <f>COUNTIFS(B:B,"Alpha_Inc",E:E,"Cancelled") / COUNTIF(B:B,"Alpha_Inc")</f>
        <v>9.2198581560283682E-2</v>
      </c>
      <c r="L344" s="15">
        <v>175736.28</v>
      </c>
      <c r="M344" s="15">
        <v>16945.8</v>
      </c>
      <c r="N344" s="14">
        <f t="shared" si="10"/>
        <v>1.9438444924406047E-2</v>
      </c>
      <c r="O344" s="1">
        <v>0.94</v>
      </c>
      <c r="P344" s="1">
        <f t="shared" si="11"/>
        <v>8.7946943483275711E-2</v>
      </c>
    </row>
    <row r="345" spans="1:16" x14ac:dyDescent="0.45">
      <c r="A345" t="s">
        <v>18</v>
      </c>
      <c r="B345" t="s">
        <v>19</v>
      </c>
      <c r="C345">
        <v>2022</v>
      </c>
      <c r="D345" t="s">
        <v>33</v>
      </c>
      <c r="E345" t="s">
        <v>20</v>
      </c>
      <c r="F345">
        <v>522</v>
      </c>
      <c r="G345">
        <v>66.83</v>
      </c>
      <c r="H345">
        <v>58.01</v>
      </c>
      <c r="I345">
        <v>74</v>
      </c>
      <c r="J345" t="s">
        <v>17</v>
      </c>
      <c r="K345" s="14">
        <f>COUNTIFS(B:B,"Delta_Logistics",E:E,"Delivered") / COUNTIF(B:B,"Delta_Logistics")</f>
        <v>0.70175438596491224</v>
      </c>
      <c r="L345" s="15">
        <v>30281.22</v>
      </c>
      <c r="M345" s="15">
        <v>4604.04</v>
      </c>
      <c r="N345" s="14">
        <f t="shared" si="10"/>
        <v>0.1417624521072797</v>
      </c>
      <c r="O345" s="1">
        <v>0.61</v>
      </c>
      <c r="P345" s="1">
        <f t="shared" si="11"/>
        <v>0.1319766571898848</v>
      </c>
    </row>
    <row r="346" spans="1:16" x14ac:dyDescent="0.45">
      <c r="A346" t="s">
        <v>18</v>
      </c>
      <c r="B346" t="s">
        <v>19</v>
      </c>
      <c r="C346">
        <v>2023</v>
      </c>
      <c r="D346" t="s">
        <v>33</v>
      </c>
      <c r="E346" t="s">
        <v>20</v>
      </c>
      <c r="F346">
        <v>200</v>
      </c>
      <c r="G346">
        <v>44.16</v>
      </c>
      <c r="H346">
        <v>43.13</v>
      </c>
      <c r="I346">
        <v>21</v>
      </c>
      <c r="J346" t="s">
        <v>17</v>
      </c>
      <c r="K346" s="14">
        <f>COUNTIFS(B:B,"Delta_Logistics",E:E,"Delivered") / COUNTIF(B:B,"Delta_Logistics")</f>
        <v>0.70175438596491224</v>
      </c>
      <c r="L346" s="15">
        <v>8626</v>
      </c>
      <c r="M346" s="15">
        <v>206</v>
      </c>
      <c r="N346" s="14">
        <f t="shared" si="10"/>
        <v>0.105</v>
      </c>
      <c r="O346" s="1">
        <v>0.61</v>
      </c>
      <c r="P346" s="1">
        <f t="shared" si="11"/>
        <v>2.3324275362318708E-2</v>
      </c>
    </row>
    <row r="347" spans="1:16" x14ac:dyDescent="0.45">
      <c r="A347" t="s">
        <v>21</v>
      </c>
      <c r="B347" t="s">
        <v>22</v>
      </c>
      <c r="C347">
        <v>2022</v>
      </c>
      <c r="D347" t="s">
        <v>26</v>
      </c>
      <c r="E347" t="s">
        <v>20</v>
      </c>
      <c r="F347">
        <v>1488</v>
      </c>
      <c r="G347">
        <v>22.76</v>
      </c>
      <c r="H347">
        <v>21.99</v>
      </c>
      <c r="I347">
        <v>55</v>
      </c>
      <c r="J347" t="s">
        <v>17</v>
      </c>
      <c r="K347" s="14">
        <f>COUNTIFS(B:B,"Gamma_Co",E:E,"Delivered") / COUNTIF(B:B,"Gamma_Co")</f>
        <v>0.72027972027972031</v>
      </c>
      <c r="L347" s="15">
        <v>32721.119999999999</v>
      </c>
      <c r="M347" s="15">
        <v>1145.76</v>
      </c>
      <c r="N347" s="14">
        <f t="shared" si="10"/>
        <v>3.6962365591397851E-2</v>
      </c>
      <c r="O347" s="1">
        <v>0.86</v>
      </c>
      <c r="P347" s="1">
        <f t="shared" si="11"/>
        <v>3.3831282952548468E-2</v>
      </c>
    </row>
    <row r="348" spans="1:16" x14ac:dyDescent="0.45">
      <c r="A348" t="s">
        <v>29</v>
      </c>
      <c r="B348" t="s">
        <v>30</v>
      </c>
      <c r="C348">
        <v>2023</v>
      </c>
      <c r="D348" t="s">
        <v>33</v>
      </c>
      <c r="E348" t="s">
        <v>20</v>
      </c>
      <c r="F348">
        <v>1371</v>
      </c>
      <c r="G348">
        <v>87.16</v>
      </c>
      <c r="H348">
        <v>78.13</v>
      </c>
      <c r="I348">
        <v>43</v>
      </c>
      <c r="J348" t="s">
        <v>17</v>
      </c>
      <c r="K348" s="14">
        <f>COUNTIFS(B:B,"Epsilon_Group",E:E,"Delivered") / COUNTIF(B:B,"Epsilon_Group")</f>
        <v>0.72289156626506024</v>
      </c>
      <c r="L348" s="15">
        <v>107116.23</v>
      </c>
      <c r="M348" s="15">
        <v>12380.13</v>
      </c>
      <c r="N348" s="14">
        <f t="shared" si="10"/>
        <v>3.1363967906637494E-2</v>
      </c>
      <c r="O348" s="1">
        <v>0.98</v>
      </c>
      <c r="P348" s="1">
        <f t="shared" si="11"/>
        <v>0.10360256998623224</v>
      </c>
    </row>
    <row r="349" spans="1:16" x14ac:dyDescent="0.45">
      <c r="A349" t="s">
        <v>13</v>
      </c>
      <c r="B349" t="s">
        <v>14</v>
      </c>
      <c r="C349">
        <v>2023</v>
      </c>
      <c r="D349" t="s">
        <v>15</v>
      </c>
      <c r="E349" t="s">
        <v>20</v>
      </c>
      <c r="F349">
        <v>1684</v>
      </c>
      <c r="G349">
        <v>73.05</v>
      </c>
      <c r="H349">
        <v>62.53</v>
      </c>
      <c r="I349">
        <v>24</v>
      </c>
      <c r="J349" t="s">
        <v>17</v>
      </c>
      <c r="K349" s="14">
        <f>COUNTIFS(B:B,"Alpha_Inc",E:E,"Delivered")/COUNTIF(B:B,"Alpha_Inc")</f>
        <v>0.75886524822695034</v>
      </c>
      <c r="L349" s="15">
        <v>105300.52</v>
      </c>
      <c r="M349" s="15">
        <v>17715.68</v>
      </c>
      <c r="N349" s="14">
        <f t="shared" si="10"/>
        <v>1.4251781472684086E-2</v>
      </c>
      <c r="O349" s="1">
        <v>0.94</v>
      </c>
      <c r="P349" s="1">
        <f t="shared" si="11"/>
        <v>0.14401095140314848</v>
      </c>
    </row>
    <row r="350" spans="1:16" x14ac:dyDescent="0.45">
      <c r="A350" t="s">
        <v>29</v>
      </c>
      <c r="B350" t="s">
        <v>30</v>
      </c>
      <c r="C350">
        <v>2023</v>
      </c>
      <c r="D350" t="s">
        <v>33</v>
      </c>
      <c r="E350" t="s">
        <v>20</v>
      </c>
      <c r="F350">
        <v>312</v>
      </c>
      <c r="G350">
        <v>63.52</v>
      </c>
      <c r="H350">
        <v>58.09</v>
      </c>
      <c r="I350">
        <v>33</v>
      </c>
      <c r="J350" t="s">
        <v>17</v>
      </c>
      <c r="K350" s="14">
        <f>COUNTIFS(B:B,"Epsilon_Group",E:E,"Delivered") / COUNTIF(B:B,"Epsilon_Group")</f>
        <v>0.72289156626506024</v>
      </c>
      <c r="L350" s="15">
        <v>18124.080000000002</v>
      </c>
      <c r="M350" s="15">
        <v>1694.16</v>
      </c>
      <c r="N350" s="14">
        <f t="shared" si="10"/>
        <v>0.10576923076923077</v>
      </c>
      <c r="O350" s="1">
        <v>0.98</v>
      </c>
      <c r="P350" s="1">
        <f t="shared" si="11"/>
        <v>8.5484886649874053E-2</v>
      </c>
    </row>
    <row r="351" spans="1:16" x14ac:dyDescent="0.45">
      <c r="A351" t="s">
        <v>13</v>
      </c>
      <c r="B351" t="s">
        <v>14</v>
      </c>
      <c r="C351">
        <v>2023</v>
      </c>
      <c r="D351" t="s">
        <v>26</v>
      </c>
      <c r="E351" t="s">
        <v>16</v>
      </c>
      <c r="F351">
        <v>1837</v>
      </c>
      <c r="G351">
        <v>99.04</v>
      </c>
      <c r="H351">
        <v>86.51</v>
      </c>
      <c r="I351">
        <v>39</v>
      </c>
      <c r="J351" t="s">
        <v>17</v>
      </c>
      <c r="K351" s="14">
        <f>COUNTIFS(B:B,"Alpha_Inc",E:E,"Cancelled") / COUNTIF(B:B,"Alpha_Inc")</f>
        <v>9.2198581560283682E-2</v>
      </c>
      <c r="L351" s="15">
        <v>158918.87</v>
      </c>
      <c r="M351" s="15">
        <v>23017.61</v>
      </c>
      <c r="N351" s="14">
        <f t="shared" si="10"/>
        <v>2.1230266739248774E-2</v>
      </c>
      <c r="O351" s="1">
        <v>0.94</v>
      </c>
      <c r="P351" s="1">
        <f t="shared" si="11"/>
        <v>0.12651453957996769</v>
      </c>
    </row>
    <row r="352" spans="1:16" x14ac:dyDescent="0.45">
      <c r="A352" t="s">
        <v>24</v>
      </c>
      <c r="B352" t="s">
        <v>25</v>
      </c>
      <c r="C352">
        <v>2023</v>
      </c>
      <c r="D352" t="s">
        <v>23</v>
      </c>
      <c r="E352" t="s">
        <v>20</v>
      </c>
      <c r="F352">
        <v>193</v>
      </c>
      <c r="G352">
        <v>87.86</v>
      </c>
      <c r="H352">
        <v>81.739999999999995</v>
      </c>
      <c r="I352">
        <v>21</v>
      </c>
      <c r="J352" t="s">
        <v>17</v>
      </c>
      <c r="K352" s="14">
        <f>COUNTIFS(B:B,"Beta_Supplies",E:E,"Delivered") / COUNTIF(B:B,"Beta_Supplies")</f>
        <v>0.70512820512820518</v>
      </c>
      <c r="L352" s="15">
        <v>15775.82</v>
      </c>
      <c r="M352" s="15">
        <v>1181.1600000000001</v>
      </c>
      <c r="N352" s="14">
        <f t="shared" si="10"/>
        <v>0.10880829015544041</v>
      </c>
      <c r="O352" s="1">
        <v>0.76</v>
      </c>
      <c r="P352" s="1">
        <f t="shared" si="11"/>
        <v>6.965627134076946E-2</v>
      </c>
    </row>
    <row r="353" spans="1:16" x14ac:dyDescent="0.45">
      <c r="A353" t="s">
        <v>24</v>
      </c>
      <c r="B353" t="s">
        <v>25</v>
      </c>
      <c r="C353">
        <v>2022</v>
      </c>
      <c r="D353" t="s">
        <v>33</v>
      </c>
      <c r="E353" t="s">
        <v>20</v>
      </c>
      <c r="F353">
        <v>395</v>
      </c>
      <c r="G353">
        <v>24.83</v>
      </c>
      <c r="H353">
        <v>23.96</v>
      </c>
      <c r="I353">
        <v>31</v>
      </c>
      <c r="J353" t="s">
        <v>17</v>
      </c>
      <c r="K353" s="14">
        <f>COUNTIFS(B:B,"Beta_Supplies",E:E,"Delivered") / COUNTIF(B:B,"Beta_Supplies")</f>
        <v>0.70512820512820518</v>
      </c>
      <c r="L353" s="15">
        <v>9464.2000000000007</v>
      </c>
      <c r="M353" s="15">
        <v>343.65</v>
      </c>
      <c r="N353" s="14">
        <f t="shared" si="10"/>
        <v>7.848101265822785E-2</v>
      </c>
      <c r="O353" s="1">
        <v>0.76</v>
      </c>
      <c r="P353" s="1">
        <f t="shared" si="11"/>
        <v>3.5038260169150119E-2</v>
      </c>
    </row>
    <row r="354" spans="1:16" x14ac:dyDescent="0.45">
      <c r="A354" t="s">
        <v>29</v>
      </c>
      <c r="B354" t="s">
        <v>30</v>
      </c>
      <c r="C354">
        <v>2022</v>
      </c>
      <c r="D354" t="s">
        <v>33</v>
      </c>
      <c r="E354" t="s">
        <v>16</v>
      </c>
      <c r="F354">
        <v>673</v>
      </c>
      <c r="G354">
        <v>39.58</v>
      </c>
      <c r="H354">
        <v>35.83</v>
      </c>
      <c r="I354">
        <v>25</v>
      </c>
      <c r="J354" t="s">
        <v>17</v>
      </c>
      <c r="K354" s="14">
        <f>COUNTIFS(B:B,"Epsilon_Group",E:E,"Cancelled") / COUNTIF(B:B,"Epsilon_Group")</f>
        <v>8.4337349397590355E-2</v>
      </c>
      <c r="L354" s="15">
        <v>24113.59</v>
      </c>
      <c r="M354" s="15">
        <v>2523.75</v>
      </c>
      <c r="N354" s="14">
        <f t="shared" si="10"/>
        <v>3.7147102526002972E-2</v>
      </c>
      <c r="O354" s="1">
        <v>0.98</v>
      </c>
      <c r="P354" s="1">
        <f t="shared" si="11"/>
        <v>9.4744820616472963E-2</v>
      </c>
    </row>
    <row r="355" spans="1:16" x14ac:dyDescent="0.45">
      <c r="A355" t="s">
        <v>18</v>
      </c>
      <c r="B355" t="s">
        <v>19</v>
      </c>
      <c r="C355">
        <v>2022</v>
      </c>
      <c r="D355" t="s">
        <v>15</v>
      </c>
      <c r="E355" t="s">
        <v>16</v>
      </c>
      <c r="F355">
        <v>1066</v>
      </c>
      <c r="G355">
        <v>33.33</v>
      </c>
      <c r="H355">
        <v>28.47</v>
      </c>
      <c r="I355">
        <v>162</v>
      </c>
      <c r="J355" t="s">
        <v>28</v>
      </c>
      <c r="K355" s="14">
        <f>COUNTIFS(B:B,"Delta_Logistics",E:E,"Cancelled") / COUNTIF(B:B,"Delta_Logistics")</f>
        <v>9.3567251461988299E-2</v>
      </c>
      <c r="L355" s="15">
        <v>30349.02</v>
      </c>
      <c r="M355" s="15">
        <v>5180.76</v>
      </c>
      <c r="N355" s="14">
        <f t="shared" si="10"/>
        <v>0.15196998123827393</v>
      </c>
      <c r="O355" s="1">
        <v>0.39</v>
      </c>
      <c r="P355" s="1">
        <f t="shared" si="11"/>
        <v>0.1458145814581458</v>
      </c>
    </row>
    <row r="356" spans="1:16" x14ac:dyDescent="0.45">
      <c r="A356" t="s">
        <v>21</v>
      </c>
      <c r="B356" t="s">
        <v>22</v>
      </c>
      <c r="C356">
        <v>2023</v>
      </c>
      <c r="D356" t="s">
        <v>26</v>
      </c>
      <c r="E356" t="s">
        <v>20</v>
      </c>
      <c r="F356">
        <v>1645</v>
      </c>
      <c r="G356">
        <v>85.42</v>
      </c>
      <c r="H356">
        <v>80.78</v>
      </c>
      <c r="I356">
        <v>73</v>
      </c>
      <c r="J356" t="s">
        <v>28</v>
      </c>
      <c r="K356" s="14">
        <f>COUNTIFS(B:B,"Gamma_Co",E:E,"Delivered") / COUNTIF(B:B,"Gamma_Co")</f>
        <v>0.72027972027972031</v>
      </c>
      <c r="L356" s="15">
        <v>132883.1</v>
      </c>
      <c r="M356" s="15">
        <v>7632.8</v>
      </c>
      <c r="N356" s="14">
        <f t="shared" si="10"/>
        <v>4.4376899696048633E-2</v>
      </c>
      <c r="O356" s="1">
        <v>0.14000000000000001</v>
      </c>
      <c r="P356" s="1">
        <f t="shared" si="11"/>
        <v>5.4319831421212834E-2</v>
      </c>
    </row>
    <row r="357" spans="1:16" x14ac:dyDescent="0.45">
      <c r="A357" t="s">
        <v>13</v>
      </c>
      <c r="B357" t="s">
        <v>14</v>
      </c>
      <c r="C357">
        <v>2022</v>
      </c>
      <c r="D357" t="s">
        <v>33</v>
      </c>
      <c r="E357" t="s">
        <v>20</v>
      </c>
      <c r="F357">
        <v>930</v>
      </c>
      <c r="G357">
        <v>13.67</v>
      </c>
      <c r="H357">
        <v>11.95</v>
      </c>
      <c r="I357">
        <v>16</v>
      </c>
      <c r="J357" t="s">
        <v>17</v>
      </c>
      <c r="K357" s="14">
        <f>COUNTIFS(B:B,"Alpha_Inc",E:E,"Delivered")/COUNTIF(B:B,"Alpha_Inc")</f>
        <v>0.75886524822695034</v>
      </c>
      <c r="L357" s="15">
        <v>11113.5</v>
      </c>
      <c r="M357" s="15">
        <v>1599.6</v>
      </c>
      <c r="N357" s="14">
        <f t="shared" si="10"/>
        <v>1.7204301075268817E-2</v>
      </c>
      <c r="O357" s="1">
        <v>0.94</v>
      </c>
      <c r="P357" s="1">
        <f t="shared" si="11"/>
        <v>0.12582297000731535</v>
      </c>
    </row>
    <row r="358" spans="1:16" x14ac:dyDescent="0.45">
      <c r="A358" t="s">
        <v>13</v>
      </c>
      <c r="B358" t="s">
        <v>14</v>
      </c>
      <c r="C358">
        <v>2022</v>
      </c>
      <c r="D358" t="s">
        <v>15</v>
      </c>
      <c r="E358" t="s">
        <v>20</v>
      </c>
      <c r="F358">
        <v>51</v>
      </c>
      <c r="G358">
        <v>63.74</v>
      </c>
      <c r="H358">
        <v>56.1</v>
      </c>
      <c r="I358">
        <v>0</v>
      </c>
      <c r="J358" t="s">
        <v>17</v>
      </c>
      <c r="K358" s="14">
        <f>COUNTIFS(B:B,"Alpha_Inc",E:E,"Delivered")/COUNTIF(B:B,"Alpha_Inc")</f>
        <v>0.75886524822695034</v>
      </c>
      <c r="L358" s="15">
        <v>2861.1</v>
      </c>
      <c r="M358" s="15">
        <v>389.64</v>
      </c>
      <c r="N358" s="14">
        <f t="shared" si="10"/>
        <v>0</v>
      </c>
      <c r="O358" s="1">
        <v>0.94</v>
      </c>
      <c r="P358" s="1">
        <f t="shared" si="11"/>
        <v>0.11986193912770632</v>
      </c>
    </row>
    <row r="359" spans="1:16" x14ac:dyDescent="0.45">
      <c r="A359" t="s">
        <v>21</v>
      </c>
      <c r="B359" t="s">
        <v>22</v>
      </c>
      <c r="C359">
        <v>2022</v>
      </c>
      <c r="D359" t="s">
        <v>26</v>
      </c>
      <c r="E359" t="s">
        <v>20</v>
      </c>
      <c r="F359">
        <v>946</v>
      </c>
      <c r="G359">
        <v>81.77</v>
      </c>
      <c r="H359">
        <v>71.650000000000006</v>
      </c>
      <c r="I359">
        <v>55</v>
      </c>
      <c r="J359" t="s">
        <v>17</v>
      </c>
      <c r="K359" s="14">
        <f>COUNTIFS(B:B,"Gamma_Co",E:E,"Delivered") / COUNTIF(B:B,"Gamma_Co")</f>
        <v>0.72027972027972031</v>
      </c>
      <c r="L359" s="15">
        <v>67780.899999999994</v>
      </c>
      <c r="M359" s="15">
        <v>9573.52</v>
      </c>
      <c r="N359" s="14">
        <f t="shared" si="10"/>
        <v>5.8139534883720929E-2</v>
      </c>
      <c r="O359" s="1">
        <v>0.86</v>
      </c>
      <c r="P359" s="1">
        <f t="shared" si="11"/>
        <v>0.12376177082059424</v>
      </c>
    </row>
    <row r="360" spans="1:16" x14ac:dyDescent="0.45">
      <c r="A360" t="s">
        <v>29</v>
      </c>
      <c r="B360" t="s">
        <v>30</v>
      </c>
      <c r="C360">
        <v>2023</v>
      </c>
      <c r="D360" t="s">
        <v>27</v>
      </c>
      <c r="E360" t="s">
        <v>31</v>
      </c>
      <c r="F360">
        <v>1377</v>
      </c>
      <c r="G360">
        <v>94.69</v>
      </c>
      <c r="H360">
        <v>84.2</v>
      </c>
      <c r="I360">
        <v>33</v>
      </c>
      <c r="J360" t="s">
        <v>17</v>
      </c>
      <c r="K360" s="14">
        <f>COUNTIFS(B:B,"Epsilon_Group",E:E,"Partially Delivered") / COUNTIF(B:B,"Epsilon_Group")</f>
        <v>8.4337349397590355E-2</v>
      </c>
      <c r="L360" s="15">
        <v>115943.4</v>
      </c>
      <c r="M360" s="15">
        <v>14444.73</v>
      </c>
      <c r="N360" s="14">
        <f t="shared" si="10"/>
        <v>2.3965141612200435E-2</v>
      </c>
      <c r="O360" s="1">
        <v>0.98</v>
      </c>
      <c r="P360" s="1">
        <f t="shared" si="11"/>
        <v>0.11078255359594461</v>
      </c>
    </row>
    <row r="361" spans="1:16" x14ac:dyDescent="0.45">
      <c r="A361" t="s">
        <v>29</v>
      </c>
      <c r="B361" t="s">
        <v>30</v>
      </c>
      <c r="C361">
        <v>2022</v>
      </c>
      <c r="D361" t="s">
        <v>26</v>
      </c>
      <c r="E361" t="s">
        <v>16</v>
      </c>
      <c r="F361">
        <v>303</v>
      </c>
      <c r="G361">
        <v>41.6</v>
      </c>
      <c r="H361">
        <v>40.51</v>
      </c>
      <c r="I361">
        <v>11</v>
      </c>
      <c r="J361" t="s">
        <v>17</v>
      </c>
      <c r="K361" s="14">
        <f>COUNTIFS(B:B,"Epsilon_Group",E:E,"Cancelled") / COUNTIF(B:B,"Epsilon_Group")</f>
        <v>8.4337349397590355E-2</v>
      </c>
      <c r="L361" s="15">
        <v>12274.53</v>
      </c>
      <c r="M361" s="15">
        <v>330.27</v>
      </c>
      <c r="N361" s="14">
        <f t="shared" si="10"/>
        <v>3.6303630363036306E-2</v>
      </c>
      <c r="O361" s="1">
        <v>0.98</v>
      </c>
      <c r="P361" s="1">
        <f t="shared" si="11"/>
        <v>2.6201923076923157E-2</v>
      </c>
    </row>
    <row r="362" spans="1:16" x14ac:dyDescent="0.45">
      <c r="A362" t="s">
        <v>13</v>
      </c>
      <c r="B362" t="s">
        <v>14</v>
      </c>
      <c r="C362">
        <v>2023</v>
      </c>
      <c r="D362" t="s">
        <v>27</v>
      </c>
      <c r="E362" t="s">
        <v>20</v>
      </c>
      <c r="F362">
        <v>1725</v>
      </c>
      <c r="G362">
        <v>93.14</v>
      </c>
      <c r="H362">
        <v>79.62</v>
      </c>
      <c r="I362">
        <v>24</v>
      </c>
      <c r="J362" t="s">
        <v>17</v>
      </c>
      <c r="K362" s="14">
        <f>COUNTIFS(B:B,"Alpha_Inc",E:E,"Delivered")/COUNTIF(B:B,"Alpha_Inc")</f>
        <v>0.75886524822695034</v>
      </c>
      <c r="L362" s="15">
        <v>137344.5</v>
      </c>
      <c r="M362" s="15">
        <v>23322</v>
      </c>
      <c r="N362" s="14">
        <f t="shared" si="10"/>
        <v>1.391304347826087E-2</v>
      </c>
      <c r="O362" s="1">
        <v>0.94</v>
      </c>
      <c r="P362" s="1">
        <f t="shared" si="11"/>
        <v>0.1451578269272063</v>
      </c>
    </row>
    <row r="363" spans="1:16" x14ac:dyDescent="0.45">
      <c r="A363" t="s">
        <v>24</v>
      </c>
      <c r="B363" t="s">
        <v>25</v>
      </c>
      <c r="C363">
        <v>2023</v>
      </c>
      <c r="D363" t="s">
        <v>27</v>
      </c>
      <c r="E363" t="s">
        <v>16</v>
      </c>
      <c r="F363">
        <v>502</v>
      </c>
      <c r="G363">
        <v>22.05</v>
      </c>
      <c r="H363">
        <v>20.65</v>
      </c>
      <c r="I363">
        <v>50</v>
      </c>
      <c r="J363" t="s">
        <v>28</v>
      </c>
      <c r="K363" s="14">
        <f>COUNTIFS(B:B,"Beta_Supplies",E:E,"Cancelled")/COUNTIF(B:B,"Beta_Supplies")</f>
        <v>8.9743589743589744E-2</v>
      </c>
      <c r="L363" s="15">
        <v>10366.299999999999</v>
      </c>
      <c r="M363" s="15">
        <v>702.8</v>
      </c>
      <c r="N363" s="14">
        <f t="shared" si="10"/>
        <v>9.9601593625498003E-2</v>
      </c>
      <c r="O363" s="1">
        <v>0.24</v>
      </c>
      <c r="P363" s="1">
        <f t="shared" si="11"/>
        <v>6.3492063492063586E-2</v>
      </c>
    </row>
    <row r="364" spans="1:16" x14ac:dyDescent="0.45">
      <c r="A364" t="s">
        <v>21</v>
      </c>
      <c r="B364" t="s">
        <v>22</v>
      </c>
      <c r="C364">
        <v>2022</v>
      </c>
      <c r="D364" t="s">
        <v>26</v>
      </c>
      <c r="E364" t="s">
        <v>20</v>
      </c>
      <c r="F364">
        <v>1110</v>
      </c>
      <c r="G364">
        <v>90.49</v>
      </c>
      <c r="H364">
        <v>80.03</v>
      </c>
      <c r="I364">
        <v>61</v>
      </c>
      <c r="J364" t="s">
        <v>17</v>
      </c>
      <c r="K364" s="14">
        <f>COUNTIFS(B:B,"Gamma_Co",E:E,"Delivered") / COUNTIF(B:B,"Gamma_Co")</f>
        <v>0.72027972027972031</v>
      </c>
      <c r="L364" s="15">
        <v>88833.3</v>
      </c>
      <c r="M364" s="15">
        <v>11610.6</v>
      </c>
      <c r="N364" s="14">
        <f t="shared" si="10"/>
        <v>5.4954954954954956E-2</v>
      </c>
      <c r="O364" s="1">
        <v>0.86</v>
      </c>
      <c r="P364" s="1">
        <f t="shared" si="11"/>
        <v>0.11559288319151281</v>
      </c>
    </row>
    <row r="365" spans="1:16" x14ac:dyDescent="0.45">
      <c r="A365" t="s">
        <v>13</v>
      </c>
      <c r="B365" t="s">
        <v>14</v>
      </c>
      <c r="C365">
        <v>2023</v>
      </c>
      <c r="D365" t="s">
        <v>26</v>
      </c>
      <c r="E365" t="s">
        <v>20</v>
      </c>
      <c r="F365">
        <v>1233</v>
      </c>
      <c r="G365">
        <v>23.08</v>
      </c>
      <c r="H365">
        <v>20.57</v>
      </c>
      <c r="I365">
        <v>24</v>
      </c>
      <c r="J365" t="s">
        <v>17</v>
      </c>
      <c r="K365" s="14">
        <f>COUNTIFS(B:B,"Alpha_Inc",E:E,"Delivered")/COUNTIF(B:B,"Alpha_Inc")</f>
        <v>0.75886524822695034</v>
      </c>
      <c r="L365" s="15">
        <v>25362.81</v>
      </c>
      <c r="M365" s="15">
        <v>3094.83</v>
      </c>
      <c r="N365" s="14">
        <f t="shared" si="10"/>
        <v>1.9464720194647202E-2</v>
      </c>
      <c r="O365" s="1">
        <v>0.94</v>
      </c>
      <c r="P365" s="1">
        <f t="shared" si="11"/>
        <v>0.10875216637781621</v>
      </c>
    </row>
    <row r="366" spans="1:16" x14ac:dyDescent="0.45">
      <c r="A366" t="s">
        <v>24</v>
      </c>
      <c r="B366" t="s">
        <v>25</v>
      </c>
      <c r="C366">
        <v>2022</v>
      </c>
      <c r="D366" t="s">
        <v>15</v>
      </c>
      <c r="E366" t="s">
        <v>20</v>
      </c>
      <c r="F366">
        <v>1064</v>
      </c>
      <c r="G366">
        <v>48.04</v>
      </c>
      <c r="H366">
        <v>43.6</v>
      </c>
      <c r="I366">
        <v>94</v>
      </c>
      <c r="J366" t="s">
        <v>17</v>
      </c>
      <c r="K366" s="14">
        <f>COUNTIFS(B:B,"Beta_Supplies",E:E,"Delivered") / COUNTIF(B:B,"Beta_Supplies")</f>
        <v>0.70512820512820518</v>
      </c>
      <c r="L366" s="15">
        <v>46390.400000000001</v>
      </c>
      <c r="M366" s="15">
        <v>4724.16</v>
      </c>
      <c r="N366" s="14">
        <f t="shared" si="10"/>
        <v>8.834586466165413E-2</v>
      </c>
      <c r="O366" s="1">
        <v>0.76</v>
      </c>
      <c r="P366" s="1">
        <f t="shared" si="11"/>
        <v>9.2422980849292208E-2</v>
      </c>
    </row>
    <row r="367" spans="1:16" x14ac:dyDescent="0.45">
      <c r="A367" t="s">
        <v>29</v>
      </c>
      <c r="B367" t="s">
        <v>30</v>
      </c>
      <c r="C367">
        <v>2022</v>
      </c>
      <c r="D367" t="s">
        <v>26</v>
      </c>
      <c r="E367" t="s">
        <v>31</v>
      </c>
      <c r="F367">
        <v>58</v>
      </c>
      <c r="G367">
        <v>82.57</v>
      </c>
      <c r="H367">
        <v>76.55</v>
      </c>
      <c r="I367">
        <v>33</v>
      </c>
      <c r="J367" t="s">
        <v>17</v>
      </c>
      <c r="K367" s="14">
        <f>COUNTIFS(B:B,"Epsilon_Group",E:E,"Partially Delivered") / COUNTIF(B:B,"Epsilon_Group")</f>
        <v>8.4337349397590355E-2</v>
      </c>
      <c r="L367" s="15">
        <v>4439.8999999999996</v>
      </c>
      <c r="M367" s="15">
        <v>349.16</v>
      </c>
      <c r="N367" s="14">
        <f t="shared" si="10"/>
        <v>0.56896551724137934</v>
      </c>
      <c r="O367" s="1">
        <v>0.98</v>
      </c>
      <c r="P367" s="1">
        <f t="shared" si="11"/>
        <v>7.2907835775705421E-2</v>
      </c>
    </row>
    <row r="368" spans="1:16" x14ac:dyDescent="0.45">
      <c r="A368" t="s">
        <v>24</v>
      </c>
      <c r="B368" t="s">
        <v>25</v>
      </c>
      <c r="C368">
        <v>2022</v>
      </c>
      <c r="D368" t="s">
        <v>23</v>
      </c>
      <c r="E368" t="s">
        <v>20</v>
      </c>
      <c r="F368">
        <v>1306</v>
      </c>
      <c r="G368">
        <v>23.49</v>
      </c>
      <c r="H368">
        <v>20.170000000000002</v>
      </c>
      <c r="I368">
        <v>116</v>
      </c>
      <c r="J368" t="s">
        <v>28</v>
      </c>
      <c r="K368" s="14">
        <f>COUNTIFS(B:B,"Beta_Supplies",E:E,"Delivered") / COUNTIF(B:B,"Beta_Supplies")</f>
        <v>0.70512820512820518</v>
      </c>
      <c r="L368" s="15">
        <v>26342.02</v>
      </c>
      <c r="M368" s="15">
        <v>4335.92</v>
      </c>
      <c r="N368" s="14">
        <f t="shared" si="10"/>
        <v>8.8820826952526799E-2</v>
      </c>
      <c r="O368" s="1">
        <v>0.24</v>
      </c>
      <c r="P368" s="1">
        <f t="shared" si="11"/>
        <v>0.14133673903788832</v>
      </c>
    </row>
    <row r="369" spans="1:16" x14ac:dyDescent="0.45">
      <c r="A369" t="s">
        <v>18</v>
      </c>
      <c r="B369" t="s">
        <v>19</v>
      </c>
      <c r="C369">
        <v>2023</v>
      </c>
      <c r="D369" t="s">
        <v>33</v>
      </c>
      <c r="E369" t="s">
        <v>20</v>
      </c>
      <c r="F369">
        <v>1172</v>
      </c>
      <c r="G369">
        <v>32.93</v>
      </c>
      <c r="H369">
        <v>29.28</v>
      </c>
      <c r="I369">
        <v>155</v>
      </c>
      <c r="J369" t="s">
        <v>28</v>
      </c>
      <c r="K369" s="14">
        <f>COUNTIFS(B:B,"Delta_Logistics",E:E,"Delivered") / COUNTIF(B:B,"Delta_Logistics")</f>
        <v>0.70175438596491224</v>
      </c>
      <c r="L369" s="15">
        <v>34316.160000000003</v>
      </c>
      <c r="M369" s="15">
        <v>4277.8</v>
      </c>
      <c r="N369" s="14">
        <f t="shared" si="10"/>
        <v>0.13225255972696245</v>
      </c>
      <c r="O369" s="1">
        <v>0.39</v>
      </c>
      <c r="P369" s="1">
        <f t="shared" si="11"/>
        <v>0.11084117825690855</v>
      </c>
    </row>
    <row r="370" spans="1:16" x14ac:dyDescent="0.45">
      <c r="A370" t="s">
        <v>13</v>
      </c>
      <c r="B370" t="s">
        <v>14</v>
      </c>
      <c r="C370">
        <v>2023</v>
      </c>
      <c r="D370" t="s">
        <v>26</v>
      </c>
      <c r="E370" t="s">
        <v>20</v>
      </c>
      <c r="F370">
        <v>1732</v>
      </c>
      <c r="G370">
        <v>82.5</v>
      </c>
      <c r="H370">
        <v>71.709999999999994</v>
      </c>
      <c r="I370">
        <v>24</v>
      </c>
      <c r="J370" t="s">
        <v>17</v>
      </c>
      <c r="K370" s="14">
        <f>COUNTIFS(B:B,"Alpha_Inc",E:E,"Delivered")/COUNTIF(B:B,"Alpha_Inc")</f>
        <v>0.75886524822695034</v>
      </c>
      <c r="L370" s="15">
        <v>124201.72</v>
      </c>
      <c r="M370" s="15">
        <v>18688.28</v>
      </c>
      <c r="N370" s="14">
        <f t="shared" si="10"/>
        <v>1.3856812933025405E-2</v>
      </c>
      <c r="O370" s="1">
        <v>0.94</v>
      </c>
      <c r="P370" s="1">
        <f t="shared" si="11"/>
        <v>0.13078787878787887</v>
      </c>
    </row>
    <row r="371" spans="1:16" x14ac:dyDescent="0.45">
      <c r="A371" t="s">
        <v>21</v>
      </c>
      <c r="B371" t="s">
        <v>22</v>
      </c>
      <c r="C371">
        <v>2023</v>
      </c>
      <c r="D371" t="s">
        <v>27</v>
      </c>
      <c r="E371" t="s">
        <v>20</v>
      </c>
      <c r="F371">
        <v>865</v>
      </c>
      <c r="G371">
        <v>81.540000000000006</v>
      </c>
      <c r="H371">
        <v>71.59</v>
      </c>
      <c r="I371">
        <v>39</v>
      </c>
      <c r="J371" t="s">
        <v>17</v>
      </c>
      <c r="K371" s="14">
        <f>COUNTIFS(B:B,"Gamma_Co",E:E,"Delivered") / COUNTIF(B:B,"Gamma_Co")</f>
        <v>0.72027972027972031</v>
      </c>
      <c r="L371" s="15">
        <v>61925.35</v>
      </c>
      <c r="M371" s="15">
        <v>8606.75</v>
      </c>
      <c r="N371" s="14">
        <f t="shared" si="10"/>
        <v>4.5086705202312137E-2</v>
      </c>
      <c r="O371" s="1">
        <v>0.86</v>
      </c>
      <c r="P371" s="1">
        <f t="shared" si="11"/>
        <v>0.12202599950944325</v>
      </c>
    </row>
    <row r="372" spans="1:16" x14ac:dyDescent="0.45">
      <c r="A372" t="s">
        <v>24</v>
      </c>
      <c r="B372" t="s">
        <v>25</v>
      </c>
      <c r="C372">
        <v>2022</v>
      </c>
      <c r="D372" t="s">
        <v>27</v>
      </c>
      <c r="E372" t="s">
        <v>20</v>
      </c>
      <c r="F372">
        <v>257</v>
      </c>
      <c r="G372">
        <v>68.72</v>
      </c>
      <c r="H372">
        <v>66.92</v>
      </c>
      <c r="I372">
        <v>22</v>
      </c>
      <c r="J372" t="s">
        <v>17</v>
      </c>
      <c r="K372" s="14">
        <f>COUNTIFS(B:B,"Beta_Supplies",E:E,"Delivered") / COUNTIF(B:B,"Beta_Supplies")</f>
        <v>0.70512820512820518</v>
      </c>
      <c r="L372" s="15">
        <v>17198.439999999999</v>
      </c>
      <c r="M372" s="15">
        <v>462.6</v>
      </c>
      <c r="N372" s="14">
        <f t="shared" si="10"/>
        <v>8.5603112840466927E-2</v>
      </c>
      <c r="O372" s="1">
        <v>0.76</v>
      </c>
      <c r="P372" s="1">
        <f t="shared" si="11"/>
        <v>2.619324796274734E-2</v>
      </c>
    </row>
    <row r="373" spans="1:16" x14ac:dyDescent="0.45">
      <c r="A373" t="s">
        <v>29</v>
      </c>
      <c r="B373" t="s">
        <v>30</v>
      </c>
      <c r="C373">
        <v>2022</v>
      </c>
      <c r="D373" t="s">
        <v>26</v>
      </c>
      <c r="E373" t="s">
        <v>20</v>
      </c>
      <c r="F373">
        <v>1204</v>
      </c>
      <c r="G373">
        <v>73.180000000000007</v>
      </c>
      <c r="H373">
        <v>67.59</v>
      </c>
      <c r="I373">
        <v>31</v>
      </c>
      <c r="J373" t="s">
        <v>17</v>
      </c>
      <c r="K373" s="14">
        <f>COUNTIFS(B:B,"Epsilon_Group",E:E,"Delivered") / COUNTIF(B:B,"Epsilon_Group")</f>
        <v>0.72289156626506024</v>
      </c>
      <c r="L373" s="15">
        <v>81378.36</v>
      </c>
      <c r="M373" s="15">
        <v>6730.36</v>
      </c>
      <c r="N373" s="14">
        <f t="shared" si="10"/>
        <v>2.5747508305647839E-2</v>
      </c>
      <c r="O373" s="1">
        <v>0.98</v>
      </c>
      <c r="P373" s="1">
        <f t="shared" si="11"/>
        <v>7.6386990981142433E-2</v>
      </c>
    </row>
    <row r="374" spans="1:16" x14ac:dyDescent="0.45">
      <c r="A374" t="s">
        <v>24</v>
      </c>
      <c r="B374" t="s">
        <v>25</v>
      </c>
      <c r="C374">
        <v>2023</v>
      </c>
      <c r="D374" t="s">
        <v>33</v>
      </c>
      <c r="E374" t="s">
        <v>31</v>
      </c>
      <c r="F374">
        <v>453</v>
      </c>
      <c r="G374">
        <v>64.14</v>
      </c>
      <c r="H374">
        <v>60.18</v>
      </c>
      <c r="I374">
        <v>51</v>
      </c>
      <c r="J374" t="s">
        <v>17</v>
      </c>
      <c r="K374" s="14">
        <f>COUNTIFS(B:B,"Beta_Supplies",E:E,"Partially Delivered") / COUNTIF(B:B,"Beta_Supplies")</f>
        <v>8.3333333333333329E-2</v>
      </c>
      <c r="L374" s="15">
        <v>27261.54</v>
      </c>
      <c r="M374" s="15">
        <v>1793.88</v>
      </c>
      <c r="N374" s="14">
        <f t="shared" si="10"/>
        <v>0.11258278145695365</v>
      </c>
      <c r="O374" s="1">
        <v>0.76</v>
      </c>
      <c r="P374" s="1">
        <f t="shared" si="11"/>
        <v>6.1739943872778313E-2</v>
      </c>
    </row>
    <row r="375" spans="1:16" x14ac:dyDescent="0.45">
      <c r="A375" t="s">
        <v>29</v>
      </c>
      <c r="B375" t="s">
        <v>30</v>
      </c>
      <c r="C375">
        <v>2022</v>
      </c>
      <c r="D375" t="s">
        <v>33</v>
      </c>
      <c r="E375" t="s">
        <v>20</v>
      </c>
      <c r="F375">
        <v>201</v>
      </c>
      <c r="G375">
        <v>33.81</v>
      </c>
      <c r="H375">
        <v>32.54</v>
      </c>
      <c r="I375">
        <v>3</v>
      </c>
      <c r="J375" t="s">
        <v>17</v>
      </c>
      <c r="K375" s="14">
        <f>COUNTIFS(B:B,"Epsilon_Group",E:E,"Delivered") / COUNTIF(B:B,"Epsilon_Group")</f>
        <v>0.72289156626506024</v>
      </c>
      <c r="L375" s="15">
        <v>6540.54</v>
      </c>
      <c r="M375" s="15">
        <v>255.27</v>
      </c>
      <c r="N375" s="14">
        <f t="shared" si="10"/>
        <v>1.4925373134328358E-2</v>
      </c>
      <c r="O375" s="1">
        <v>0.98</v>
      </c>
      <c r="P375" s="1">
        <f t="shared" si="11"/>
        <v>3.756285122744759E-2</v>
      </c>
    </row>
    <row r="376" spans="1:16" x14ac:dyDescent="0.45">
      <c r="A376" t="s">
        <v>18</v>
      </c>
      <c r="B376" t="s">
        <v>19</v>
      </c>
      <c r="C376">
        <v>2023</v>
      </c>
      <c r="D376" t="s">
        <v>15</v>
      </c>
      <c r="E376" t="s">
        <v>20</v>
      </c>
      <c r="F376">
        <v>103</v>
      </c>
      <c r="G376">
        <v>44.61</v>
      </c>
      <c r="H376">
        <v>42.88</v>
      </c>
      <c r="I376">
        <v>10</v>
      </c>
      <c r="J376" t="s">
        <v>17</v>
      </c>
      <c r="K376" s="14">
        <f>COUNTIFS(B:B,"Delta_Logistics",E:E,"Delivered") / COUNTIF(B:B,"Delta_Logistics")</f>
        <v>0.70175438596491224</v>
      </c>
      <c r="L376" s="15">
        <v>4416.6400000000003</v>
      </c>
      <c r="M376" s="15">
        <v>178.19</v>
      </c>
      <c r="N376" s="14">
        <f t="shared" si="10"/>
        <v>9.7087378640776698E-2</v>
      </c>
      <c r="O376" s="1">
        <v>0.61</v>
      </c>
      <c r="P376" s="1">
        <f t="shared" si="11"/>
        <v>3.8780542479264671E-2</v>
      </c>
    </row>
    <row r="377" spans="1:16" x14ac:dyDescent="0.45">
      <c r="A377" t="s">
        <v>29</v>
      </c>
      <c r="B377" t="s">
        <v>30</v>
      </c>
      <c r="C377">
        <v>2022</v>
      </c>
      <c r="D377" t="s">
        <v>15</v>
      </c>
      <c r="E377" t="s">
        <v>20</v>
      </c>
      <c r="F377">
        <v>1193</v>
      </c>
      <c r="G377">
        <v>27.4</v>
      </c>
      <c r="H377">
        <v>27.09</v>
      </c>
      <c r="I377">
        <v>33</v>
      </c>
      <c r="J377" t="s">
        <v>17</v>
      </c>
      <c r="K377" s="14">
        <f>COUNTIFS(B:B,"Epsilon_Group",E:E,"Delivered") / COUNTIF(B:B,"Epsilon_Group")</f>
        <v>0.72289156626506024</v>
      </c>
      <c r="L377" s="15">
        <v>32318.37</v>
      </c>
      <c r="M377" s="15">
        <v>369.83</v>
      </c>
      <c r="N377" s="14">
        <f t="shared" si="10"/>
        <v>2.7661357921207042E-2</v>
      </c>
      <c r="O377" s="1">
        <v>0.98</v>
      </c>
      <c r="P377" s="1">
        <f t="shared" si="11"/>
        <v>1.131386861313864E-2</v>
      </c>
    </row>
    <row r="378" spans="1:16" x14ac:dyDescent="0.45">
      <c r="A378" t="s">
        <v>21</v>
      </c>
      <c r="B378" t="s">
        <v>22</v>
      </c>
      <c r="C378">
        <v>2022</v>
      </c>
      <c r="D378" t="s">
        <v>15</v>
      </c>
      <c r="E378" t="s">
        <v>31</v>
      </c>
      <c r="F378">
        <v>1746</v>
      </c>
      <c r="G378">
        <v>93.6</v>
      </c>
      <c r="H378">
        <v>89.81</v>
      </c>
      <c r="I378">
        <v>85</v>
      </c>
      <c r="J378" t="s">
        <v>17</v>
      </c>
      <c r="K378" s="14">
        <f>COUNTIFS(B:B,"Gamma_Co",E:E,"Partially Delivered") / COUNTIF(B:B,"Gamma_Co")</f>
        <v>0.12587412587412589</v>
      </c>
      <c r="L378" s="15">
        <v>156808.26</v>
      </c>
      <c r="M378" s="15">
        <v>6617.34</v>
      </c>
      <c r="N378" s="14">
        <f t="shared" si="10"/>
        <v>4.868270332187858E-2</v>
      </c>
      <c r="O378" s="1">
        <v>0.86</v>
      </c>
      <c r="P378" s="1">
        <f t="shared" si="11"/>
        <v>4.049145299145291E-2</v>
      </c>
    </row>
    <row r="379" spans="1:16" x14ac:dyDescent="0.45">
      <c r="A379" t="s">
        <v>18</v>
      </c>
      <c r="B379" t="s">
        <v>19</v>
      </c>
      <c r="C379">
        <v>2022</v>
      </c>
      <c r="D379" t="s">
        <v>33</v>
      </c>
      <c r="E379" t="s">
        <v>20</v>
      </c>
      <c r="F379">
        <v>1993</v>
      </c>
      <c r="G379">
        <v>65.94</v>
      </c>
      <c r="H379">
        <v>59.36</v>
      </c>
      <c r="I379">
        <v>155</v>
      </c>
      <c r="J379" t="s">
        <v>17</v>
      </c>
      <c r="K379" s="14">
        <f>COUNTIFS(B:B,"Delta_Logistics",E:E,"Delivered") / COUNTIF(B:B,"Delta_Logistics")</f>
        <v>0.70175438596491224</v>
      </c>
      <c r="L379" s="15">
        <v>118304.48</v>
      </c>
      <c r="M379" s="15">
        <v>13113.94</v>
      </c>
      <c r="N379" s="14">
        <f t="shared" si="10"/>
        <v>7.7772202709483193E-2</v>
      </c>
      <c r="O379" s="1">
        <v>0.61</v>
      </c>
      <c r="P379" s="1">
        <f t="shared" si="11"/>
        <v>9.9787685774946899E-2</v>
      </c>
    </row>
    <row r="380" spans="1:16" x14ac:dyDescent="0.45">
      <c r="A380" t="s">
        <v>24</v>
      </c>
      <c r="B380" t="s">
        <v>25</v>
      </c>
      <c r="C380">
        <v>2022</v>
      </c>
      <c r="D380" t="s">
        <v>27</v>
      </c>
      <c r="E380" t="s">
        <v>20</v>
      </c>
      <c r="F380">
        <v>677</v>
      </c>
      <c r="G380">
        <v>46.54</v>
      </c>
      <c r="H380">
        <v>43.11</v>
      </c>
      <c r="I380">
        <v>105</v>
      </c>
      <c r="J380" t="s">
        <v>28</v>
      </c>
      <c r="K380" s="14">
        <f>COUNTIFS(B:B,"Beta_Supplies",E:E,"Delivered") / COUNTIF(B:B,"Beta_Supplies")</f>
        <v>0.70512820512820518</v>
      </c>
      <c r="L380" s="15">
        <v>29185.47</v>
      </c>
      <c r="M380" s="15">
        <v>2322.11</v>
      </c>
      <c r="N380" s="14">
        <f t="shared" si="10"/>
        <v>0.15509601181683899</v>
      </c>
      <c r="O380" s="1">
        <v>0.24</v>
      </c>
      <c r="P380" s="1">
        <f t="shared" si="11"/>
        <v>7.370004297378599E-2</v>
      </c>
    </row>
    <row r="381" spans="1:16" x14ac:dyDescent="0.45">
      <c r="A381" t="s">
        <v>13</v>
      </c>
      <c r="B381" t="s">
        <v>14</v>
      </c>
      <c r="C381">
        <v>2022</v>
      </c>
      <c r="D381" t="s">
        <v>15</v>
      </c>
      <c r="E381" t="s">
        <v>32</v>
      </c>
      <c r="F381">
        <v>636</v>
      </c>
      <c r="G381">
        <v>53.64</v>
      </c>
      <c r="H381">
        <v>49.23</v>
      </c>
      <c r="I381">
        <v>18</v>
      </c>
      <c r="J381" t="s">
        <v>17</v>
      </c>
      <c r="K381" s="14">
        <f>COUNTIFS(B:B,"Alpha_Inc",E:E,"Pending")/COUNTIF(B:B,"Alpha_Inc")</f>
        <v>7.8014184397163122E-2</v>
      </c>
      <c r="L381" s="15">
        <v>31310.28</v>
      </c>
      <c r="M381" s="15">
        <v>2804.76</v>
      </c>
      <c r="N381" s="14">
        <f t="shared" si="10"/>
        <v>2.8301886792452831E-2</v>
      </c>
      <c r="O381" s="1">
        <v>0.94</v>
      </c>
      <c r="P381" s="1">
        <f t="shared" si="11"/>
        <v>8.2214765100671203E-2</v>
      </c>
    </row>
    <row r="382" spans="1:16" x14ac:dyDescent="0.45">
      <c r="A382" t="s">
        <v>29</v>
      </c>
      <c r="B382" t="s">
        <v>30</v>
      </c>
      <c r="C382">
        <v>2023</v>
      </c>
      <c r="D382" t="s">
        <v>26</v>
      </c>
      <c r="E382" t="s">
        <v>20</v>
      </c>
      <c r="F382">
        <v>1698</v>
      </c>
      <c r="G382">
        <v>100.97</v>
      </c>
      <c r="H382">
        <v>98.73</v>
      </c>
      <c r="I382">
        <v>52</v>
      </c>
      <c r="J382" t="s">
        <v>17</v>
      </c>
      <c r="K382" s="14">
        <f>COUNTIFS(B:B,"Epsilon_Group",E:E,"Delivered") / COUNTIF(B:B,"Epsilon_Group")</f>
        <v>0.72289156626506024</v>
      </c>
      <c r="L382" s="15">
        <v>167643.54</v>
      </c>
      <c r="M382" s="15">
        <v>3803.52</v>
      </c>
      <c r="N382" s="14">
        <f t="shared" si="10"/>
        <v>3.0624263839811542E-2</v>
      </c>
      <c r="O382" s="1">
        <v>0.98</v>
      </c>
      <c r="P382" s="1">
        <f t="shared" si="11"/>
        <v>2.2184807368525253E-2</v>
      </c>
    </row>
    <row r="383" spans="1:16" x14ac:dyDescent="0.45">
      <c r="A383" t="s">
        <v>21</v>
      </c>
      <c r="B383" t="s">
        <v>22</v>
      </c>
      <c r="C383">
        <v>2022</v>
      </c>
      <c r="D383" t="s">
        <v>15</v>
      </c>
      <c r="E383" t="s">
        <v>20</v>
      </c>
      <c r="F383">
        <v>1493</v>
      </c>
      <c r="G383">
        <v>24.87</v>
      </c>
      <c r="H383">
        <v>22.89</v>
      </c>
      <c r="I383">
        <v>56</v>
      </c>
      <c r="J383" t="s">
        <v>17</v>
      </c>
      <c r="K383" s="14">
        <f>COUNTIFS(B:B,"Gamma_Co",E:E,"Delivered") / COUNTIF(B:B,"Gamma_Co")</f>
        <v>0.72027972027972031</v>
      </c>
      <c r="L383" s="15">
        <v>34174.769999999997</v>
      </c>
      <c r="M383" s="15">
        <v>2956.14</v>
      </c>
      <c r="N383" s="14">
        <f t="shared" si="10"/>
        <v>3.7508372404554589E-2</v>
      </c>
      <c r="O383" s="1">
        <v>0.86</v>
      </c>
      <c r="P383" s="1">
        <f t="shared" si="11"/>
        <v>7.9613992762364305E-2</v>
      </c>
    </row>
    <row r="384" spans="1:16" x14ac:dyDescent="0.45">
      <c r="A384" t="s">
        <v>13</v>
      </c>
      <c r="B384" t="s">
        <v>14</v>
      </c>
      <c r="C384">
        <v>2022</v>
      </c>
      <c r="D384" t="s">
        <v>26</v>
      </c>
      <c r="E384" t="s">
        <v>20</v>
      </c>
      <c r="F384">
        <v>1495</v>
      </c>
      <c r="G384">
        <v>64.33</v>
      </c>
      <c r="H384">
        <v>58.18</v>
      </c>
      <c r="I384">
        <v>26</v>
      </c>
      <c r="J384" t="s">
        <v>17</v>
      </c>
      <c r="K384" s="14">
        <f>COUNTIFS(B:B,"Alpha_Inc",E:E,"Delivered")/COUNTIF(B:B,"Alpha_Inc")</f>
        <v>0.75886524822695034</v>
      </c>
      <c r="L384" s="15">
        <v>86979.1</v>
      </c>
      <c r="M384" s="15">
        <v>9194.25</v>
      </c>
      <c r="N384" s="14">
        <f t="shared" si="10"/>
        <v>1.7391304347826087E-2</v>
      </c>
      <c r="O384" s="1">
        <v>0.94</v>
      </c>
      <c r="P384" s="1">
        <f t="shared" si="11"/>
        <v>9.5600808332037907E-2</v>
      </c>
    </row>
    <row r="385" spans="1:16" x14ac:dyDescent="0.45">
      <c r="A385" t="s">
        <v>13</v>
      </c>
      <c r="B385" t="s">
        <v>14</v>
      </c>
      <c r="C385">
        <v>2023</v>
      </c>
      <c r="D385" t="s">
        <v>26</v>
      </c>
      <c r="E385" t="s">
        <v>16</v>
      </c>
      <c r="F385">
        <v>153</v>
      </c>
      <c r="G385">
        <v>59.42</v>
      </c>
      <c r="H385">
        <v>52</v>
      </c>
      <c r="I385">
        <v>3</v>
      </c>
      <c r="J385" t="s">
        <v>17</v>
      </c>
      <c r="K385" s="14">
        <f>COUNTIFS(B:B,"Alpha_Inc",E:E,"Cancelled") / COUNTIF(B:B,"Alpha_Inc")</f>
        <v>9.2198581560283682E-2</v>
      </c>
      <c r="L385" s="15">
        <v>7956</v>
      </c>
      <c r="M385" s="15">
        <v>1135.26</v>
      </c>
      <c r="N385" s="14">
        <f t="shared" si="10"/>
        <v>1.9607843137254902E-2</v>
      </c>
      <c r="O385" s="1">
        <v>0.94</v>
      </c>
      <c r="P385" s="1">
        <f t="shared" si="11"/>
        <v>0.12487377987209697</v>
      </c>
    </row>
    <row r="386" spans="1:16" x14ac:dyDescent="0.45">
      <c r="A386" t="s">
        <v>18</v>
      </c>
      <c r="B386" t="s">
        <v>19</v>
      </c>
      <c r="C386">
        <v>2023</v>
      </c>
      <c r="D386" t="s">
        <v>27</v>
      </c>
      <c r="E386" t="s">
        <v>16</v>
      </c>
      <c r="F386">
        <v>1925</v>
      </c>
      <c r="G386">
        <v>70.88</v>
      </c>
      <c r="H386">
        <v>63.41</v>
      </c>
      <c r="I386">
        <v>292</v>
      </c>
      <c r="J386" t="s">
        <v>17</v>
      </c>
      <c r="K386" s="14">
        <f>COUNTIFS(B:B,"Delta_Logistics",E:E,"Cancelled") / COUNTIF(B:B,"Delta_Logistics")</f>
        <v>9.3567251461988299E-2</v>
      </c>
      <c r="L386" s="15">
        <v>122064.25</v>
      </c>
      <c r="M386" s="15">
        <v>14379.75</v>
      </c>
      <c r="N386" s="14">
        <f t="shared" ref="N386:N449" si="12">I386/F386</f>
        <v>0.15168831168831168</v>
      </c>
      <c r="O386" s="1">
        <v>0.61</v>
      </c>
      <c r="P386" s="1">
        <f t="shared" si="11"/>
        <v>0.10538939051918735</v>
      </c>
    </row>
    <row r="387" spans="1:16" x14ac:dyDescent="0.45">
      <c r="A387" t="s">
        <v>24</v>
      </c>
      <c r="B387" t="s">
        <v>25</v>
      </c>
      <c r="C387">
        <v>2023</v>
      </c>
      <c r="D387" t="s">
        <v>26</v>
      </c>
      <c r="E387" t="s">
        <v>20</v>
      </c>
      <c r="F387">
        <v>303</v>
      </c>
      <c r="G387">
        <v>12.97</v>
      </c>
      <c r="H387">
        <v>11.42</v>
      </c>
      <c r="I387">
        <v>105</v>
      </c>
      <c r="J387" t="s">
        <v>28</v>
      </c>
      <c r="K387" s="14">
        <f>COUNTIFS(B:B,"Beta_Supplies",E:E,"Delivered") / COUNTIF(B:B,"Beta_Supplies")</f>
        <v>0.70512820512820518</v>
      </c>
      <c r="L387" s="15">
        <v>3460.26</v>
      </c>
      <c r="M387" s="15">
        <v>469.65</v>
      </c>
      <c r="N387" s="14">
        <f t="shared" si="12"/>
        <v>0.34653465346534651</v>
      </c>
      <c r="O387" s="1">
        <v>0.24</v>
      </c>
      <c r="P387" s="1">
        <f t="shared" ref="P387:P450" si="13">((G387-H387)/G387)</f>
        <v>0.11950655358519666</v>
      </c>
    </row>
    <row r="388" spans="1:16" x14ac:dyDescent="0.45">
      <c r="A388" t="s">
        <v>13</v>
      </c>
      <c r="B388" t="s">
        <v>14</v>
      </c>
      <c r="C388">
        <v>2022</v>
      </c>
      <c r="D388" t="s">
        <v>15</v>
      </c>
      <c r="E388" t="s">
        <v>20</v>
      </c>
      <c r="F388">
        <v>1300</v>
      </c>
      <c r="G388">
        <v>92.92</v>
      </c>
      <c r="H388">
        <v>90.63</v>
      </c>
      <c r="I388">
        <v>24</v>
      </c>
      <c r="J388" t="s">
        <v>17</v>
      </c>
      <c r="K388" s="14">
        <f>COUNTIFS(B:B,"Alpha_Inc",E:E,"Delivered")/COUNTIF(B:B,"Alpha_Inc")</f>
        <v>0.75886524822695034</v>
      </c>
      <c r="L388" s="15">
        <v>117819</v>
      </c>
      <c r="M388" s="15">
        <v>2977</v>
      </c>
      <c r="N388" s="14">
        <f t="shared" si="12"/>
        <v>1.8461538461538463E-2</v>
      </c>
      <c r="O388" s="1">
        <v>0.94</v>
      </c>
      <c r="P388" s="1">
        <f t="shared" si="13"/>
        <v>2.4644855789926885E-2</v>
      </c>
    </row>
    <row r="389" spans="1:16" x14ac:dyDescent="0.45">
      <c r="A389" t="s">
        <v>21</v>
      </c>
      <c r="B389" t="s">
        <v>22</v>
      </c>
      <c r="C389">
        <v>2023</v>
      </c>
      <c r="D389" t="s">
        <v>27</v>
      </c>
      <c r="E389" t="s">
        <v>20</v>
      </c>
      <c r="F389">
        <v>1185</v>
      </c>
      <c r="G389">
        <v>103.28</v>
      </c>
      <c r="H389">
        <v>99.05</v>
      </c>
      <c r="I389">
        <v>55</v>
      </c>
      <c r="J389" t="s">
        <v>17</v>
      </c>
      <c r="K389" s="14">
        <f>COUNTIFS(B:B,"Gamma_Co",E:E,"Delivered") / COUNTIF(B:B,"Gamma_Co")</f>
        <v>0.72027972027972031</v>
      </c>
      <c r="L389" s="15">
        <v>117374.25</v>
      </c>
      <c r="M389" s="15">
        <v>5012.55</v>
      </c>
      <c r="N389" s="14">
        <f t="shared" si="12"/>
        <v>4.6413502109704644E-2</v>
      </c>
      <c r="O389" s="1">
        <v>0.86</v>
      </c>
      <c r="P389" s="1">
        <f t="shared" si="13"/>
        <v>4.0956622773044189E-2</v>
      </c>
    </row>
    <row r="390" spans="1:16" x14ac:dyDescent="0.45">
      <c r="A390" t="s">
        <v>29</v>
      </c>
      <c r="B390" t="s">
        <v>30</v>
      </c>
      <c r="C390">
        <v>2023</v>
      </c>
      <c r="D390" t="s">
        <v>27</v>
      </c>
      <c r="E390" t="s">
        <v>20</v>
      </c>
      <c r="F390">
        <v>559</v>
      </c>
      <c r="G390">
        <v>67.56</v>
      </c>
      <c r="H390">
        <v>57.98</v>
      </c>
      <c r="I390">
        <v>15</v>
      </c>
      <c r="J390" t="s">
        <v>17</v>
      </c>
      <c r="K390" s="14">
        <f>COUNTIFS(B:B,"Epsilon_Group",E:E,"Delivered") / COUNTIF(B:B,"Epsilon_Group")</f>
        <v>0.72289156626506024</v>
      </c>
      <c r="L390" s="15">
        <v>32410.82</v>
      </c>
      <c r="M390" s="15">
        <v>5355.22</v>
      </c>
      <c r="N390" s="14">
        <f t="shared" si="12"/>
        <v>2.6833631484794274E-2</v>
      </c>
      <c r="O390" s="1">
        <v>0.98</v>
      </c>
      <c r="P390" s="1">
        <f t="shared" si="13"/>
        <v>0.14179988158673779</v>
      </c>
    </row>
    <row r="391" spans="1:16" x14ac:dyDescent="0.45">
      <c r="A391" t="s">
        <v>29</v>
      </c>
      <c r="B391" t="s">
        <v>30</v>
      </c>
      <c r="C391">
        <v>2023</v>
      </c>
      <c r="D391" t="s">
        <v>33</v>
      </c>
      <c r="E391" t="s">
        <v>32</v>
      </c>
      <c r="F391">
        <v>1546</v>
      </c>
      <c r="G391">
        <v>78.88</v>
      </c>
      <c r="H391">
        <v>78</v>
      </c>
      <c r="I391">
        <v>38</v>
      </c>
      <c r="J391" t="s">
        <v>17</v>
      </c>
      <c r="K391" s="14">
        <f>COUNTIFS(B:B,"Epsilon_Group",E:E,"Pending") / COUNTIF(B:B,"Epsilon_Group")</f>
        <v>0.10843373493975904</v>
      </c>
      <c r="L391" s="15">
        <v>120588</v>
      </c>
      <c r="M391" s="15">
        <v>1360.48</v>
      </c>
      <c r="N391" s="14">
        <f t="shared" si="12"/>
        <v>2.4579560155239329E-2</v>
      </c>
      <c r="O391" s="1">
        <v>0.98</v>
      </c>
      <c r="P391" s="1">
        <f t="shared" si="13"/>
        <v>1.1156186612576008E-2</v>
      </c>
    </row>
    <row r="392" spans="1:16" x14ac:dyDescent="0.45">
      <c r="A392" t="s">
        <v>29</v>
      </c>
      <c r="B392" t="s">
        <v>30</v>
      </c>
      <c r="C392">
        <v>2022</v>
      </c>
      <c r="D392" t="s">
        <v>26</v>
      </c>
      <c r="E392" t="s">
        <v>20</v>
      </c>
      <c r="F392">
        <v>148</v>
      </c>
      <c r="G392">
        <v>93.02</v>
      </c>
      <c r="H392">
        <v>85.96</v>
      </c>
      <c r="I392">
        <v>4</v>
      </c>
      <c r="J392" t="s">
        <v>17</v>
      </c>
      <c r="K392" s="14">
        <f>COUNTIFS(B:B,"Epsilon_Group",E:E,"Delivered") / COUNTIF(B:B,"Epsilon_Group")</f>
        <v>0.72289156626506024</v>
      </c>
      <c r="L392" s="15">
        <v>12722.08</v>
      </c>
      <c r="M392" s="15">
        <v>1044.8800000000001</v>
      </c>
      <c r="N392" s="14">
        <f t="shared" si="12"/>
        <v>2.7027027027027029E-2</v>
      </c>
      <c r="O392" s="1">
        <v>0.98</v>
      </c>
      <c r="P392" s="1">
        <f t="shared" si="13"/>
        <v>7.5897656417974663E-2</v>
      </c>
    </row>
    <row r="393" spans="1:16" x14ac:dyDescent="0.45">
      <c r="A393" t="s">
        <v>18</v>
      </c>
      <c r="B393" t="s">
        <v>19</v>
      </c>
      <c r="C393">
        <v>2023</v>
      </c>
      <c r="D393" t="s">
        <v>15</v>
      </c>
      <c r="E393" t="s">
        <v>20</v>
      </c>
      <c r="F393">
        <v>202</v>
      </c>
      <c r="G393">
        <v>81.75</v>
      </c>
      <c r="H393">
        <v>78.260000000000005</v>
      </c>
      <c r="I393">
        <v>37</v>
      </c>
      <c r="J393" t="s">
        <v>28</v>
      </c>
      <c r="K393" s="14">
        <f>COUNTIFS(B:B,"Delta_Logistics",E:E,"Delivered") / COUNTIF(B:B,"Delta_Logistics")</f>
        <v>0.70175438596491224</v>
      </c>
      <c r="L393" s="15">
        <v>15808.52</v>
      </c>
      <c r="M393" s="15">
        <v>704.98</v>
      </c>
      <c r="N393" s="14">
        <f t="shared" si="12"/>
        <v>0.18316831683168316</v>
      </c>
      <c r="O393" s="1">
        <v>0.39</v>
      </c>
      <c r="P393" s="1">
        <f t="shared" si="13"/>
        <v>4.2691131498470883E-2</v>
      </c>
    </row>
    <row r="394" spans="1:16" x14ac:dyDescent="0.45">
      <c r="A394" t="s">
        <v>21</v>
      </c>
      <c r="B394" t="s">
        <v>22</v>
      </c>
      <c r="C394">
        <v>2023</v>
      </c>
      <c r="D394" t="s">
        <v>26</v>
      </c>
      <c r="E394" t="s">
        <v>20</v>
      </c>
      <c r="F394">
        <v>1934</v>
      </c>
      <c r="G394">
        <v>25.86</v>
      </c>
      <c r="H394">
        <v>25.6</v>
      </c>
      <c r="I394">
        <v>78</v>
      </c>
      <c r="J394" t="s">
        <v>17</v>
      </c>
      <c r="K394" s="14">
        <f>COUNTIFS(B:B,"Gamma_Co",E:E,"Delivered") / COUNTIF(B:B,"Gamma_Co")</f>
        <v>0.72027972027972031</v>
      </c>
      <c r="L394" s="15">
        <v>49510.400000000001</v>
      </c>
      <c r="M394" s="15">
        <v>502.84</v>
      </c>
      <c r="N394" s="14">
        <f t="shared" si="12"/>
        <v>4.0330920372285417E-2</v>
      </c>
      <c r="O394" s="1">
        <v>0.86</v>
      </c>
      <c r="P394" s="1">
        <f t="shared" si="13"/>
        <v>1.0054137664346404E-2</v>
      </c>
    </row>
    <row r="395" spans="1:16" x14ac:dyDescent="0.45">
      <c r="A395" t="s">
        <v>13</v>
      </c>
      <c r="B395" t="s">
        <v>14</v>
      </c>
      <c r="C395">
        <v>2022</v>
      </c>
      <c r="D395" t="s">
        <v>15</v>
      </c>
      <c r="E395" t="s">
        <v>20</v>
      </c>
      <c r="F395">
        <v>963</v>
      </c>
      <c r="G395">
        <v>64.959999999999994</v>
      </c>
      <c r="H395">
        <v>64.069999999999993</v>
      </c>
      <c r="I395">
        <v>20</v>
      </c>
      <c r="J395" t="s">
        <v>17</v>
      </c>
      <c r="K395" s="14">
        <f>COUNTIFS(B:B,"Alpha_Inc",E:E,"Delivered")/COUNTIF(B:B,"Alpha_Inc")</f>
        <v>0.75886524822695034</v>
      </c>
      <c r="L395" s="15">
        <v>61699.41</v>
      </c>
      <c r="M395" s="15">
        <v>857.07</v>
      </c>
      <c r="N395" s="14">
        <f t="shared" si="12"/>
        <v>2.0768431983385256E-2</v>
      </c>
      <c r="O395" s="1">
        <v>0.94</v>
      </c>
      <c r="P395" s="1">
        <f t="shared" si="13"/>
        <v>1.3700738916256167E-2</v>
      </c>
    </row>
    <row r="396" spans="1:16" x14ac:dyDescent="0.45">
      <c r="A396" t="s">
        <v>21</v>
      </c>
      <c r="B396" t="s">
        <v>22</v>
      </c>
      <c r="C396">
        <v>2023</v>
      </c>
      <c r="D396" t="s">
        <v>23</v>
      </c>
      <c r="E396" t="s">
        <v>20</v>
      </c>
      <c r="F396">
        <v>1969</v>
      </c>
      <c r="G396">
        <v>71.709999999999994</v>
      </c>
      <c r="H396">
        <v>61.96</v>
      </c>
      <c r="I396">
        <v>55</v>
      </c>
      <c r="J396" t="s">
        <v>17</v>
      </c>
      <c r="K396" s="14">
        <f>COUNTIFS(B:B,"Gamma_Co",E:E,"Delivered") / COUNTIF(B:B,"Gamma_Co")</f>
        <v>0.72027972027972031</v>
      </c>
      <c r="L396" s="15">
        <v>121999.24</v>
      </c>
      <c r="M396" s="15">
        <v>19197.75</v>
      </c>
      <c r="N396" s="14">
        <f t="shared" si="12"/>
        <v>2.7932960893854747E-2</v>
      </c>
      <c r="O396" s="1">
        <v>0.86</v>
      </c>
      <c r="P396" s="1">
        <f t="shared" si="13"/>
        <v>0.13596430065541756</v>
      </c>
    </row>
    <row r="397" spans="1:16" x14ac:dyDescent="0.45">
      <c r="A397" t="s">
        <v>18</v>
      </c>
      <c r="B397" t="s">
        <v>19</v>
      </c>
      <c r="C397">
        <v>2022</v>
      </c>
      <c r="D397" t="s">
        <v>33</v>
      </c>
      <c r="E397" t="s">
        <v>20</v>
      </c>
      <c r="F397">
        <v>927</v>
      </c>
      <c r="G397">
        <v>48.89</v>
      </c>
      <c r="H397">
        <v>46.05</v>
      </c>
      <c r="I397">
        <v>138</v>
      </c>
      <c r="J397" t="s">
        <v>17</v>
      </c>
      <c r="K397" s="14">
        <f>COUNTIFS(B:B,"Delta_Logistics",E:E,"Delivered") / COUNTIF(B:B,"Delta_Logistics")</f>
        <v>0.70175438596491224</v>
      </c>
      <c r="L397" s="15">
        <v>42688.35</v>
      </c>
      <c r="M397" s="15">
        <v>2632.68</v>
      </c>
      <c r="N397" s="14">
        <f t="shared" si="12"/>
        <v>0.14886731391585761</v>
      </c>
      <c r="O397" s="1">
        <v>0.61</v>
      </c>
      <c r="P397" s="1">
        <f t="shared" si="13"/>
        <v>5.8089588872980227E-2</v>
      </c>
    </row>
    <row r="398" spans="1:16" x14ac:dyDescent="0.45">
      <c r="A398" t="s">
        <v>18</v>
      </c>
      <c r="B398" t="s">
        <v>19</v>
      </c>
      <c r="C398">
        <v>2022</v>
      </c>
      <c r="D398" t="s">
        <v>27</v>
      </c>
      <c r="E398" t="s">
        <v>16</v>
      </c>
      <c r="F398">
        <v>387</v>
      </c>
      <c r="G398">
        <v>77.81</v>
      </c>
      <c r="H398">
        <v>69.040000000000006</v>
      </c>
      <c r="I398">
        <v>67</v>
      </c>
      <c r="J398" t="s">
        <v>17</v>
      </c>
      <c r="K398" s="14">
        <f>COUNTIFS(B:B,"Delta_Logistics",E:E,"Cancelled") / COUNTIF(B:B,"Delta_Logistics")</f>
        <v>9.3567251461988299E-2</v>
      </c>
      <c r="L398" s="15">
        <v>26718.48</v>
      </c>
      <c r="M398" s="15">
        <v>3393.99</v>
      </c>
      <c r="N398" s="14">
        <f t="shared" si="12"/>
        <v>0.1731266149870801</v>
      </c>
      <c r="O398" s="1">
        <v>0.61</v>
      </c>
      <c r="P398" s="1">
        <f t="shared" si="13"/>
        <v>0.11271044852846672</v>
      </c>
    </row>
    <row r="399" spans="1:16" x14ac:dyDescent="0.45">
      <c r="A399" t="s">
        <v>24</v>
      </c>
      <c r="B399" t="s">
        <v>25</v>
      </c>
      <c r="C399">
        <v>2022</v>
      </c>
      <c r="D399" t="s">
        <v>33</v>
      </c>
      <c r="E399" t="s">
        <v>20</v>
      </c>
      <c r="F399">
        <v>1779</v>
      </c>
      <c r="G399">
        <v>97.86</v>
      </c>
      <c r="H399">
        <v>94.36</v>
      </c>
      <c r="I399">
        <v>176</v>
      </c>
      <c r="J399" t="s">
        <v>17</v>
      </c>
      <c r="K399" s="14">
        <f>COUNTIFS(B:B,"Beta_Supplies",E:E,"Delivered") / COUNTIF(B:B,"Beta_Supplies")</f>
        <v>0.70512820512820518</v>
      </c>
      <c r="L399" s="15">
        <v>167866.44</v>
      </c>
      <c r="M399" s="15">
        <v>6226.5</v>
      </c>
      <c r="N399" s="14">
        <f t="shared" si="12"/>
        <v>9.8931984260820685E-2</v>
      </c>
      <c r="O399" s="1">
        <v>0.76</v>
      </c>
      <c r="P399" s="1">
        <f t="shared" si="13"/>
        <v>3.5765379113018601E-2</v>
      </c>
    </row>
    <row r="400" spans="1:16" x14ac:dyDescent="0.45">
      <c r="A400" t="s">
        <v>21</v>
      </c>
      <c r="B400" t="s">
        <v>22</v>
      </c>
      <c r="C400">
        <v>2022</v>
      </c>
      <c r="D400" t="s">
        <v>23</v>
      </c>
      <c r="E400" t="s">
        <v>32</v>
      </c>
      <c r="F400">
        <v>871</v>
      </c>
      <c r="G400">
        <v>94.7</v>
      </c>
      <c r="H400">
        <v>92.66</v>
      </c>
      <c r="I400">
        <v>46</v>
      </c>
      <c r="J400" t="s">
        <v>17</v>
      </c>
      <c r="K400" s="14">
        <f>COUNTIFS(B:B,"Gamma_Co",E:E,"Pending") / COUNTIF(B:B,"Gamma_Co")</f>
        <v>0.11188811188811189</v>
      </c>
      <c r="L400" s="15">
        <v>80706.86</v>
      </c>
      <c r="M400" s="15">
        <v>1776.84</v>
      </c>
      <c r="N400" s="14">
        <f t="shared" si="12"/>
        <v>5.2812858783008038E-2</v>
      </c>
      <c r="O400" s="1">
        <v>0.86</v>
      </c>
      <c r="P400" s="1">
        <f t="shared" si="13"/>
        <v>2.1541710665258777E-2</v>
      </c>
    </row>
    <row r="401" spans="1:16" x14ac:dyDescent="0.45">
      <c r="A401" t="s">
        <v>29</v>
      </c>
      <c r="B401" t="s">
        <v>30</v>
      </c>
      <c r="C401">
        <v>2022</v>
      </c>
      <c r="D401" t="s">
        <v>33</v>
      </c>
      <c r="E401" t="s">
        <v>20</v>
      </c>
      <c r="F401">
        <v>1236</v>
      </c>
      <c r="G401">
        <v>51.33</v>
      </c>
      <c r="H401">
        <v>44.03</v>
      </c>
      <c r="I401">
        <v>25</v>
      </c>
      <c r="J401" t="s">
        <v>17</v>
      </c>
      <c r="K401" s="14">
        <f>COUNTIFS(B:B,"Epsilon_Group",E:E,"Delivered") / COUNTIF(B:B,"Epsilon_Group")</f>
        <v>0.72289156626506024</v>
      </c>
      <c r="L401" s="15">
        <v>54421.08</v>
      </c>
      <c r="M401" s="15">
        <v>9022.7999999999993</v>
      </c>
      <c r="N401" s="14">
        <f t="shared" si="12"/>
        <v>2.0226537216828478E-2</v>
      </c>
      <c r="O401" s="1">
        <v>0.98</v>
      </c>
      <c r="P401" s="1">
        <f t="shared" si="13"/>
        <v>0.14221702707968045</v>
      </c>
    </row>
    <row r="402" spans="1:16" x14ac:dyDescent="0.45">
      <c r="A402" t="s">
        <v>18</v>
      </c>
      <c r="B402" t="s">
        <v>19</v>
      </c>
      <c r="C402">
        <v>2023</v>
      </c>
      <c r="D402" t="s">
        <v>33</v>
      </c>
      <c r="E402" t="s">
        <v>20</v>
      </c>
      <c r="F402">
        <v>1793</v>
      </c>
      <c r="G402">
        <v>22.01</v>
      </c>
      <c r="H402">
        <v>21.78</v>
      </c>
      <c r="I402">
        <v>285</v>
      </c>
      <c r="J402" t="s">
        <v>17</v>
      </c>
      <c r="K402" s="14">
        <f>COUNTIFS(B:B,"Delta_Logistics",E:E,"Delivered") / COUNTIF(B:B,"Delta_Logistics")</f>
        <v>0.70175438596491224</v>
      </c>
      <c r="L402" s="15">
        <v>39051.54</v>
      </c>
      <c r="M402" s="15">
        <v>412.39</v>
      </c>
      <c r="N402" s="14">
        <f t="shared" si="12"/>
        <v>0.15895147796988288</v>
      </c>
      <c r="O402" s="1">
        <v>0.61</v>
      </c>
      <c r="P402" s="1">
        <f t="shared" si="13"/>
        <v>1.0449795547478437E-2</v>
      </c>
    </row>
    <row r="403" spans="1:16" x14ac:dyDescent="0.45">
      <c r="A403" t="s">
        <v>18</v>
      </c>
      <c r="B403" t="s">
        <v>19</v>
      </c>
      <c r="C403">
        <v>2022</v>
      </c>
      <c r="D403" t="s">
        <v>23</v>
      </c>
      <c r="E403" t="s">
        <v>20</v>
      </c>
      <c r="F403">
        <v>1006</v>
      </c>
      <c r="G403">
        <v>101.1</v>
      </c>
      <c r="H403">
        <v>89.04</v>
      </c>
      <c r="I403">
        <v>139</v>
      </c>
      <c r="J403" t="s">
        <v>17</v>
      </c>
      <c r="K403" s="14">
        <f>COUNTIFS(B:B,"Delta_Logistics",E:E,"Delivered") / COUNTIF(B:B,"Delta_Logistics")</f>
        <v>0.70175438596491224</v>
      </c>
      <c r="L403" s="15">
        <v>89574.24</v>
      </c>
      <c r="M403" s="15">
        <v>12132.36</v>
      </c>
      <c r="N403" s="14">
        <f t="shared" si="12"/>
        <v>0.13817097415506957</v>
      </c>
      <c r="O403" s="1">
        <v>0.61</v>
      </c>
      <c r="P403" s="1">
        <f t="shared" si="13"/>
        <v>0.11928783382789307</v>
      </c>
    </row>
    <row r="404" spans="1:16" x14ac:dyDescent="0.45">
      <c r="A404" t="s">
        <v>24</v>
      </c>
      <c r="B404" t="s">
        <v>25</v>
      </c>
      <c r="C404">
        <v>2022</v>
      </c>
      <c r="D404" t="s">
        <v>33</v>
      </c>
      <c r="E404" t="s">
        <v>16</v>
      </c>
      <c r="F404">
        <v>1754</v>
      </c>
      <c r="G404">
        <v>89.35</v>
      </c>
      <c r="H404">
        <v>86.54</v>
      </c>
      <c r="I404">
        <v>161</v>
      </c>
      <c r="J404" t="s">
        <v>28</v>
      </c>
      <c r="K404" s="14">
        <f>COUNTIFS(B:B,"Beta_Supplies",E:E,"Cancelled")/COUNTIF(B:B,"Beta_Supplies")</f>
        <v>8.9743589743589744E-2</v>
      </c>
      <c r="L404" s="15">
        <v>151791.16</v>
      </c>
      <c r="M404" s="15">
        <v>4928.74</v>
      </c>
      <c r="N404" s="14">
        <f t="shared" si="12"/>
        <v>9.1790193842645376E-2</v>
      </c>
      <c r="O404" s="1">
        <v>0.24</v>
      </c>
      <c r="P404" s="1">
        <f t="shared" si="13"/>
        <v>3.1449356463346262E-2</v>
      </c>
    </row>
    <row r="405" spans="1:16" x14ac:dyDescent="0.45">
      <c r="A405" t="s">
        <v>29</v>
      </c>
      <c r="B405" t="s">
        <v>30</v>
      </c>
      <c r="C405">
        <v>2022</v>
      </c>
      <c r="D405" t="s">
        <v>33</v>
      </c>
      <c r="E405" t="s">
        <v>20</v>
      </c>
      <c r="F405">
        <v>210</v>
      </c>
      <c r="G405">
        <v>22.17</v>
      </c>
      <c r="H405">
        <v>21.32</v>
      </c>
      <c r="I405">
        <v>10</v>
      </c>
      <c r="J405" t="s">
        <v>17</v>
      </c>
      <c r="K405" s="14">
        <f>COUNTIFS(B:B,"Epsilon_Group",E:E,"Delivered") / COUNTIF(B:B,"Epsilon_Group")</f>
        <v>0.72289156626506024</v>
      </c>
      <c r="L405" s="15">
        <v>4477.2</v>
      </c>
      <c r="M405" s="15">
        <v>178.5</v>
      </c>
      <c r="N405" s="14">
        <f t="shared" si="12"/>
        <v>4.7619047619047616E-2</v>
      </c>
      <c r="O405" s="1">
        <v>0.98</v>
      </c>
      <c r="P405" s="1">
        <f t="shared" si="13"/>
        <v>3.8340099233198074E-2</v>
      </c>
    </row>
    <row r="406" spans="1:16" x14ac:dyDescent="0.45">
      <c r="A406" t="s">
        <v>18</v>
      </c>
      <c r="B406" t="s">
        <v>19</v>
      </c>
      <c r="C406">
        <v>2023</v>
      </c>
      <c r="D406" t="s">
        <v>23</v>
      </c>
      <c r="E406" t="s">
        <v>20</v>
      </c>
      <c r="F406">
        <v>1653</v>
      </c>
      <c r="G406">
        <v>102.16</v>
      </c>
      <c r="H406">
        <v>91.91</v>
      </c>
      <c r="I406">
        <v>217</v>
      </c>
      <c r="J406" t="s">
        <v>17</v>
      </c>
      <c r="K406" s="14">
        <f>COUNTIFS(B:B,"Delta_Logistics",E:E,"Delivered") / COUNTIF(B:B,"Delta_Logistics")</f>
        <v>0.70175438596491224</v>
      </c>
      <c r="L406" s="15">
        <v>151927.23000000001</v>
      </c>
      <c r="M406" s="15">
        <v>16943.25</v>
      </c>
      <c r="N406" s="14">
        <f t="shared" si="12"/>
        <v>0.13127646702964307</v>
      </c>
      <c r="O406" s="1">
        <v>0.61</v>
      </c>
      <c r="P406" s="1">
        <f t="shared" si="13"/>
        <v>0.10033281127642914</v>
      </c>
    </row>
    <row r="407" spans="1:16" x14ac:dyDescent="0.45">
      <c r="A407" t="s">
        <v>13</v>
      </c>
      <c r="B407" t="s">
        <v>14</v>
      </c>
      <c r="C407">
        <v>2022</v>
      </c>
      <c r="D407" t="s">
        <v>23</v>
      </c>
      <c r="E407" t="s">
        <v>31</v>
      </c>
      <c r="F407">
        <v>850</v>
      </c>
      <c r="G407">
        <v>91.38</v>
      </c>
      <c r="H407">
        <v>88.41</v>
      </c>
      <c r="I407">
        <v>24</v>
      </c>
      <c r="J407" t="s">
        <v>17</v>
      </c>
      <c r="K407" s="14">
        <f>COUNTIFS(B:B,"Alpha_Inc",E:E,"Partially Delivered")/COUNTIF(B:B,"Alpha_Inc")</f>
        <v>7.0921985815602842E-2</v>
      </c>
      <c r="L407" s="15">
        <v>75148.5</v>
      </c>
      <c r="M407" s="15">
        <v>2524.5</v>
      </c>
      <c r="N407" s="14">
        <f t="shared" si="12"/>
        <v>2.823529411764706E-2</v>
      </c>
      <c r="O407" s="1">
        <v>0.94</v>
      </c>
      <c r="P407" s="1">
        <f t="shared" si="13"/>
        <v>3.2501641497045292E-2</v>
      </c>
    </row>
    <row r="408" spans="1:16" x14ac:dyDescent="0.45">
      <c r="A408" t="s">
        <v>29</v>
      </c>
      <c r="B408" t="s">
        <v>30</v>
      </c>
      <c r="C408">
        <v>2022</v>
      </c>
      <c r="D408" t="s">
        <v>27</v>
      </c>
      <c r="E408" t="s">
        <v>20</v>
      </c>
      <c r="F408">
        <v>447</v>
      </c>
      <c r="G408">
        <v>59.81</v>
      </c>
      <c r="H408">
        <v>57.92</v>
      </c>
      <c r="I408">
        <v>13</v>
      </c>
      <c r="J408" t="s">
        <v>17</v>
      </c>
      <c r="K408" s="14">
        <f>COUNTIFS(B:B,"Epsilon_Group",E:E,"Delivered") / COUNTIF(B:B,"Epsilon_Group")</f>
        <v>0.72289156626506024</v>
      </c>
      <c r="L408" s="15">
        <v>25890.240000000002</v>
      </c>
      <c r="M408" s="15">
        <v>844.83</v>
      </c>
      <c r="N408" s="14">
        <f t="shared" si="12"/>
        <v>2.9082774049217001E-2</v>
      </c>
      <c r="O408" s="1">
        <v>0.98</v>
      </c>
      <c r="P408" s="1">
        <f t="shared" si="13"/>
        <v>3.1600066878448428E-2</v>
      </c>
    </row>
    <row r="409" spans="1:16" x14ac:dyDescent="0.45">
      <c r="A409" t="s">
        <v>21</v>
      </c>
      <c r="B409" t="s">
        <v>22</v>
      </c>
      <c r="C409">
        <v>2022</v>
      </c>
      <c r="D409" t="s">
        <v>15</v>
      </c>
      <c r="E409" t="s">
        <v>20</v>
      </c>
      <c r="F409">
        <v>1350</v>
      </c>
      <c r="G409">
        <v>65.11</v>
      </c>
      <c r="H409">
        <v>56.95</v>
      </c>
      <c r="I409">
        <v>71</v>
      </c>
      <c r="J409" t="s">
        <v>17</v>
      </c>
      <c r="K409" s="14">
        <f>COUNTIFS(B:B,"Gamma_Co",E:E,"Delivered") / COUNTIF(B:B,"Gamma_Co")</f>
        <v>0.72027972027972031</v>
      </c>
      <c r="L409" s="15">
        <v>76882.5</v>
      </c>
      <c r="M409" s="15">
        <v>11016</v>
      </c>
      <c r="N409" s="14">
        <f t="shared" si="12"/>
        <v>5.2592592592592594E-2</v>
      </c>
      <c r="O409" s="1">
        <v>0.86</v>
      </c>
      <c r="P409" s="1">
        <f t="shared" si="13"/>
        <v>0.12532637075718012</v>
      </c>
    </row>
    <row r="410" spans="1:16" x14ac:dyDescent="0.45">
      <c r="A410" t="s">
        <v>24</v>
      </c>
      <c r="B410" t="s">
        <v>25</v>
      </c>
      <c r="C410">
        <v>2023</v>
      </c>
      <c r="D410" t="s">
        <v>15</v>
      </c>
      <c r="E410" t="s">
        <v>20</v>
      </c>
      <c r="F410">
        <v>865</v>
      </c>
      <c r="G410">
        <v>51.19</v>
      </c>
      <c r="H410">
        <v>47.76</v>
      </c>
      <c r="I410">
        <v>83</v>
      </c>
      <c r="J410" t="s">
        <v>17</v>
      </c>
      <c r="K410" s="14">
        <f>COUNTIFS(B:B,"Beta_Supplies",E:E,"Delivered") / COUNTIF(B:B,"Beta_Supplies")</f>
        <v>0.70512820512820518</v>
      </c>
      <c r="L410" s="15">
        <v>41312.400000000001</v>
      </c>
      <c r="M410" s="15">
        <v>2966.95</v>
      </c>
      <c r="N410" s="14">
        <f t="shared" si="12"/>
        <v>9.595375722543352E-2</v>
      </c>
      <c r="O410" s="1">
        <v>0.76</v>
      </c>
      <c r="P410" s="1">
        <f t="shared" si="13"/>
        <v>6.7005274467669462E-2</v>
      </c>
    </row>
    <row r="411" spans="1:16" x14ac:dyDescent="0.45">
      <c r="A411" t="s">
        <v>13</v>
      </c>
      <c r="B411" t="s">
        <v>14</v>
      </c>
      <c r="C411">
        <v>2023</v>
      </c>
      <c r="D411" t="s">
        <v>23</v>
      </c>
      <c r="E411" t="s">
        <v>20</v>
      </c>
      <c r="F411">
        <v>1989</v>
      </c>
      <c r="G411">
        <v>16.5</v>
      </c>
      <c r="H411">
        <v>15.89</v>
      </c>
      <c r="I411">
        <v>57</v>
      </c>
      <c r="J411" t="s">
        <v>17</v>
      </c>
      <c r="K411" s="14">
        <f>COUNTIFS(B:B,"Alpha_Inc",E:E,"Delivered")/COUNTIF(B:B,"Alpha_Inc")</f>
        <v>0.75886524822695034</v>
      </c>
      <c r="L411" s="15">
        <v>31605.21</v>
      </c>
      <c r="M411" s="15">
        <v>1213.29</v>
      </c>
      <c r="N411" s="14">
        <f t="shared" si="12"/>
        <v>2.8657616892911009E-2</v>
      </c>
      <c r="O411" s="1">
        <v>0.94</v>
      </c>
      <c r="P411" s="1">
        <f t="shared" si="13"/>
        <v>3.6969696969696937E-2</v>
      </c>
    </row>
    <row r="412" spans="1:16" x14ac:dyDescent="0.45">
      <c r="A412" t="s">
        <v>13</v>
      </c>
      <c r="B412" t="s">
        <v>14</v>
      </c>
      <c r="C412">
        <v>2022</v>
      </c>
      <c r="D412" t="s">
        <v>15</v>
      </c>
      <c r="E412" t="s">
        <v>20</v>
      </c>
      <c r="F412">
        <v>1577</v>
      </c>
      <c r="G412">
        <v>41.77</v>
      </c>
      <c r="H412">
        <v>39.58</v>
      </c>
      <c r="I412">
        <v>32</v>
      </c>
      <c r="J412" t="s">
        <v>17</v>
      </c>
      <c r="K412" s="14">
        <f>COUNTIFS(B:B,"Alpha_Inc",E:E,"Delivered")/COUNTIF(B:B,"Alpha_Inc")</f>
        <v>0.75886524822695034</v>
      </c>
      <c r="L412" s="15">
        <v>62417.66</v>
      </c>
      <c r="M412" s="15">
        <v>3453.63</v>
      </c>
      <c r="N412" s="14">
        <f t="shared" si="12"/>
        <v>2.0291693088142042E-2</v>
      </c>
      <c r="O412" s="1">
        <v>0.94</v>
      </c>
      <c r="P412" s="1">
        <f t="shared" si="13"/>
        <v>5.2429973665310145E-2</v>
      </c>
    </row>
    <row r="413" spans="1:16" x14ac:dyDescent="0.45">
      <c r="A413" t="s">
        <v>21</v>
      </c>
      <c r="B413" t="s">
        <v>22</v>
      </c>
      <c r="C413">
        <v>2023</v>
      </c>
      <c r="D413" t="s">
        <v>26</v>
      </c>
      <c r="E413" t="s">
        <v>32</v>
      </c>
      <c r="F413">
        <v>1969</v>
      </c>
      <c r="G413">
        <v>89.25</v>
      </c>
      <c r="H413">
        <v>87.28</v>
      </c>
      <c r="I413">
        <v>108</v>
      </c>
      <c r="J413" t="s">
        <v>28</v>
      </c>
      <c r="K413" s="14">
        <f>COUNTIFS(B:B,"Gamma_Co",E:E,"Pending") / COUNTIF(B:B,"Gamma_Co")</f>
        <v>0.11188811188811189</v>
      </c>
      <c r="L413" s="15">
        <v>171854.32</v>
      </c>
      <c r="M413" s="15">
        <v>3878.93</v>
      </c>
      <c r="N413" s="14">
        <f t="shared" si="12"/>
        <v>5.485017775520569E-2</v>
      </c>
      <c r="O413" s="1">
        <v>0.14000000000000001</v>
      </c>
      <c r="P413" s="1">
        <f t="shared" si="13"/>
        <v>2.2072829131652649E-2</v>
      </c>
    </row>
    <row r="414" spans="1:16" x14ac:dyDescent="0.45">
      <c r="A414" t="s">
        <v>24</v>
      </c>
      <c r="B414" t="s">
        <v>25</v>
      </c>
      <c r="C414">
        <v>2023</v>
      </c>
      <c r="D414" t="s">
        <v>26</v>
      </c>
      <c r="E414" t="s">
        <v>31</v>
      </c>
      <c r="F414">
        <v>1465</v>
      </c>
      <c r="G414">
        <v>11.25</v>
      </c>
      <c r="H414">
        <v>9.61</v>
      </c>
      <c r="I414">
        <v>151</v>
      </c>
      <c r="J414" t="s">
        <v>17</v>
      </c>
      <c r="K414" s="14">
        <f>COUNTIFS(B:B,"Beta_Supplies",E:E,"Partially Delivered") / COUNTIF(B:B,"Beta_Supplies")</f>
        <v>8.3333333333333329E-2</v>
      </c>
      <c r="L414" s="15">
        <v>14078.65</v>
      </c>
      <c r="M414" s="15">
        <v>2402.6</v>
      </c>
      <c r="N414" s="14">
        <f t="shared" si="12"/>
        <v>0.10307167235494881</v>
      </c>
      <c r="O414" s="1">
        <v>0.76</v>
      </c>
      <c r="P414" s="1">
        <f t="shared" si="13"/>
        <v>0.14577777777777784</v>
      </c>
    </row>
    <row r="415" spans="1:16" x14ac:dyDescent="0.45">
      <c r="A415" t="s">
        <v>18</v>
      </c>
      <c r="B415" t="s">
        <v>19</v>
      </c>
      <c r="C415">
        <v>2022</v>
      </c>
      <c r="D415" t="s">
        <v>26</v>
      </c>
      <c r="E415" t="s">
        <v>32</v>
      </c>
      <c r="F415">
        <v>1208</v>
      </c>
      <c r="G415">
        <v>41.62</v>
      </c>
      <c r="H415">
        <v>39.46</v>
      </c>
      <c r="I415">
        <v>155</v>
      </c>
      <c r="J415" t="s">
        <v>17</v>
      </c>
      <c r="K415" s="14">
        <f>COUNTIFS(B:B,"Delta_Logistics",E:E,"Pending") / COUNTIF(B:B,"Delta_Logistics")</f>
        <v>9.9415204678362568E-2</v>
      </c>
      <c r="L415" s="15">
        <v>47667.68</v>
      </c>
      <c r="M415" s="15">
        <v>2609.2800000000002</v>
      </c>
      <c r="N415" s="14">
        <f t="shared" si="12"/>
        <v>0.12831125827814568</v>
      </c>
      <c r="O415" s="1">
        <v>0.61</v>
      </c>
      <c r="P415" s="1">
        <f t="shared" si="13"/>
        <v>5.1898125901009048E-2</v>
      </c>
    </row>
    <row r="416" spans="1:16" x14ac:dyDescent="0.45">
      <c r="A416" t="s">
        <v>24</v>
      </c>
      <c r="B416" t="s">
        <v>25</v>
      </c>
      <c r="C416">
        <v>2022</v>
      </c>
      <c r="D416" t="s">
        <v>27</v>
      </c>
      <c r="E416" t="s">
        <v>20</v>
      </c>
      <c r="F416">
        <v>1268</v>
      </c>
      <c r="G416">
        <v>46.06</v>
      </c>
      <c r="H416">
        <v>45.26</v>
      </c>
      <c r="I416">
        <v>123</v>
      </c>
      <c r="J416" t="s">
        <v>17</v>
      </c>
      <c r="K416" s="14">
        <f>COUNTIFS(B:B,"Beta_Supplies",E:E,"Delivered") / COUNTIF(B:B,"Beta_Supplies")</f>
        <v>0.70512820512820518</v>
      </c>
      <c r="L416" s="15">
        <v>57389.68</v>
      </c>
      <c r="M416" s="15">
        <v>1014.4</v>
      </c>
      <c r="N416" s="14">
        <f t="shared" si="12"/>
        <v>9.7003154574132486E-2</v>
      </c>
      <c r="O416" s="1">
        <v>0.76</v>
      </c>
      <c r="P416" s="1">
        <f t="shared" si="13"/>
        <v>1.7368649587494664E-2</v>
      </c>
    </row>
    <row r="417" spans="1:16" x14ac:dyDescent="0.45">
      <c r="A417" t="s">
        <v>18</v>
      </c>
      <c r="B417" t="s">
        <v>19</v>
      </c>
      <c r="C417">
        <v>2022</v>
      </c>
      <c r="D417" t="s">
        <v>15</v>
      </c>
      <c r="E417" t="s">
        <v>20</v>
      </c>
      <c r="F417">
        <v>450</v>
      </c>
      <c r="G417">
        <v>59.24</v>
      </c>
      <c r="H417">
        <v>55.03</v>
      </c>
      <c r="I417">
        <v>68</v>
      </c>
      <c r="J417" t="s">
        <v>28</v>
      </c>
      <c r="K417" s="14">
        <f>COUNTIFS(B:B,"Delta_Logistics",E:E,"Delivered") / COUNTIF(B:B,"Delta_Logistics")</f>
        <v>0.70175438596491224</v>
      </c>
      <c r="L417" s="15">
        <v>24763.5</v>
      </c>
      <c r="M417" s="15">
        <v>1894.5</v>
      </c>
      <c r="N417" s="14">
        <f t="shared" si="12"/>
        <v>0.15111111111111111</v>
      </c>
      <c r="O417" s="1">
        <v>0.39</v>
      </c>
      <c r="P417" s="1">
        <f t="shared" si="13"/>
        <v>7.1066846725185692E-2</v>
      </c>
    </row>
    <row r="418" spans="1:16" x14ac:dyDescent="0.45">
      <c r="A418" t="s">
        <v>21</v>
      </c>
      <c r="B418" t="s">
        <v>22</v>
      </c>
      <c r="C418">
        <v>2023</v>
      </c>
      <c r="D418" t="s">
        <v>33</v>
      </c>
      <c r="E418" t="s">
        <v>31</v>
      </c>
      <c r="F418">
        <v>689</v>
      </c>
      <c r="G418">
        <v>102.53</v>
      </c>
      <c r="H418">
        <v>95.23</v>
      </c>
      <c r="I418">
        <v>38</v>
      </c>
      <c r="J418" t="s">
        <v>17</v>
      </c>
      <c r="K418" s="14">
        <f>COUNTIFS(B:B,"Gamma_Co",E:E,"Partially Delivered") / COUNTIF(B:B,"Gamma_Co")</f>
        <v>0.12587412587412589</v>
      </c>
      <c r="L418" s="15">
        <v>65613.47</v>
      </c>
      <c r="M418" s="15">
        <v>5029.7</v>
      </c>
      <c r="N418" s="14">
        <f t="shared" si="12"/>
        <v>5.5152394775036286E-2</v>
      </c>
      <c r="O418" s="1">
        <v>0.86</v>
      </c>
      <c r="P418" s="1">
        <f t="shared" si="13"/>
        <v>7.1198673558958328E-2</v>
      </c>
    </row>
    <row r="419" spans="1:16" x14ac:dyDescent="0.45">
      <c r="A419" t="s">
        <v>21</v>
      </c>
      <c r="B419" t="s">
        <v>22</v>
      </c>
      <c r="C419">
        <v>2023</v>
      </c>
      <c r="D419" t="s">
        <v>23</v>
      </c>
      <c r="E419" t="s">
        <v>20</v>
      </c>
      <c r="F419">
        <v>1106</v>
      </c>
      <c r="G419">
        <v>44.05</v>
      </c>
      <c r="H419">
        <v>38.6</v>
      </c>
      <c r="I419">
        <v>51</v>
      </c>
      <c r="J419" t="s">
        <v>17</v>
      </c>
      <c r="K419" s="14">
        <f>COUNTIFS(B:B,"Gamma_Co",E:E,"Delivered") / COUNTIF(B:B,"Gamma_Co")</f>
        <v>0.72027972027972031</v>
      </c>
      <c r="L419" s="15">
        <v>42691.6</v>
      </c>
      <c r="M419" s="15">
        <v>6027.7</v>
      </c>
      <c r="N419" s="14">
        <f t="shared" si="12"/>
        <v>4.6112115732368897E-2</v>
      </c>
      <c r="O419" s="1">
        <v>0.86</v>
      </c>
      <c r="P419" s="1">
        <f t="shared" si="13"/>
        <v>0.12372304199772977</v>
      </c>
    </row>
    <row r="420" spans="1:16" x14ac:dyDescent="0.45">
      <c r="A420" t="s">
        <v>13</v>
      </c>
      <c r="B420" t="s">
        <v>14</v>
      </c>
      <c r="C420">
        <v>2022</v>
      </c>
      <c r="D420" t="s">
        <v>15</v>
      </c>
      <c r="E420" t="s">
        <v>20</v>
      </c>
      <c r="F420">
        <v>737</v>
      </c>
      <c r="G420">
        <v>43.08</v>
      </c>
      <c r="H420">
        <v>42.58</v>
      </c>
      <c r="I420">
        <v>21</v>
      </c>
      <c r="J420" t="s">
        <v>17</v>
      </c>
      <c r="K420" s="14">
        <f>COUNTIFS(B:B,"Alpha_Inc",E:E,"Delivered")/COUNTIF(B:B,"Alpha_Inc")</f>
        <v>0.75886524822695034</v>
      </c>
      <c r="L420" s="15">
        <v>31381.46</v>
      </c>
      <c r="M420" s="15">
        <v>368.5</v>
      </c>
      <c r="N420" s="14">
        <f t="shared" si="12"/>
        <v>2.8493894165535955E-2</v>
      </c>
      <c r="O420" s="1">
        <v>0.94</v>
      </c>
      <c r="P420" s="1">
        <f t="shared" si="13"/>
        <v>1.1606313834726092E-2</v>
      </c>
    </row>
    <row r="421" spans="1:16" x14ac:dyDescent="0.45">
      <c r="A421" t="s">
        <v>13</v>
      </c>
      <c r="B421" t="s">
        <v>14</v>
      </c>
      <c r="C421">
        <v>2022</v>
      </c>
      <c r="D421" t="s">
        <v>27</v>
      </c>
      <c r="E421" t="s">
        <v>20</v>
      </c>
      <c r="F421">
        <v>509</v>
      </c>
      <c r="G421">
        <v>76.760000000000005</v>
      </c>
      <c r="H421">
        <v>74.72</v>
      </c>
      <c r="I421">
        <v>7</v>
      </c>
      <c r="J421" t="s">
        <v>28</v>
      </c>
      <c r="K421" s="14">
        <f>COUNTIFS(B:B,"Alpha_Inc",E:E,"Delivered")/COUNTIF(B:B,"Alpha_Inc")</f>
        <v>0.75886524822695034</v>
      </c>
      <c r="L421" s="15">
        <v>38032.480000000003</v>
      </c>
      <c r="M421" s="15">
        <v>1038.3599999999999</v>
      </c>
      <c r="N421" s="14">
        <f t="shared" si="12"/>
        <v>1.37524557956778E-2</v>
      </c>
      <c r="O421" s="1">
        <v>0.06</v>
      </c>
      <c r="P421" s="1">
        <f t="shared" si="13"/>
        <v>2.6576341844710867E-2</v>
      </c>
    </row>
    <row r="422" spans="1:16" x14ac:dyDescent="0.45">
      <c r="A422" t="s">
        <v>13</v>
      </c>
      <c r="B422" t="s">
        <v>14</v>
      </c>
      <c r="C422">
        <v>2022</v>
      </c>
      <c r="D422" t="s">
        <v>33</v>
      </c>
      <c r="E422" t="s">
        <v>20</v>
      </c>
      <c r="F422">
        <v>1004</v>
      </c>
      <c r="G422">
        <v>50.7</v>
      </c>
      <c r="H422">
        <v>46.59</v>
      </c>
      <c r="I422">
        <v>27</v>
      </c>
      <c r="J422" t="s">
        <v>17</v>
      </c>
      <c r="K422" s="14">
        <f>COUNTIFS(B:B,"Alpha_Inc",E:E,"Delivered")/COUNTIF(B:B,"Alpha_Inc")</f>
        <v>0.75886524822695034</v>
      </c>
      <c r="L422" s="15">
        <v>46776.36</v>
      </c>
      <c r="M422" s="15">
        <v>4126.4399999999996</v>
      </c>
      <c r="N422" s="14">
        <f t="shared" si="12"/>
        <v>2.6892430278884463E-2</v>
      </c>
      <c r="O422" s="1">
        <v>0.94</v>
      </c>
      <c r="P422" s="1">
        <f t="shared" si="13"/>
        <v>8.1065088757396431E-2</v>
      </c>
    </row>
    <row r="423" spans="1:16" x14ac:dyDescent="0.45">
      <c r="A423" t="s">
        <v>21</v>
      </c>
      <c r="B423" t="s">
        <v>22</v>
      </c>
      <c r="C423">
        <v>2022</v>
      </c>
      <c r="D423" t="s">
        <v>23</v>
      </c>
      <c r="E423" t="s">
        <v>32</v>
      </c>
      <c r="F423">
        <v>1956</v>
      </c>
      <c r="G423">
        <v>31.88</v>
      </c>
      <c r="H423">
        <v>28.48</v>
      </c>
      <c r="I423">
        <v>86</v>
      </c>
      <c r="J423" t="s">
        <v>17</v>
      </c>
      <c r="K423" s="14">
        <f>COUNTIFS(B:B,"Gamma_Co",E:E,"Pending") / COUNTIF(B:B,"Gamma_Co")</f>
        <v>0.11188811188811189</v>
      </c>
      <c r="L423" s="15">
        <v>55706.879999999997</v>
      </c>
      <c r="M423" s="15">
        <v>6650.4</v>
      </c>
      <c r="N423" s="14">
        <f t="shared" si="12"/>
        <v>4.396728016359918E-2</v>
      </c>
      <c r="O423" s="1">
        <v>0.86</v>
      </c>
      <c r="P423" s="1">
        <f t="shared" si="13"/>
        <v>0.10664993726474274</v>
      </c>
    </row>
    <row r="424" spans="1:16" x14ac:dyDescent="0.45">
      <c r="A424" t="s">
        <v>18</v>
      </c>
      <c r="B424" t="s">
        <v>19</v>
      </c>
      <c r="C424">
        <v>2022</v>
      </c>
      <c r="D424" t="s">
        <v>33</v>
      </c>
      <c r="E424" t="s">
        <v>20</v>
      </c>
      <c r="F424">
        <v>519</v>
      </c>
      <c r="G424">
        <v>51.73</v>
      </c>
      <c r="H424">
        <v>47.52</v>
      </c>
      <c r="I424">
        <v>81</v>
      </c>
      <c r="J424" t="s">
        <v>28</v>
      </c>
      <c r="K424" s="14">
        <f>COUNTIFS(B:B,"Delta_Logistics",E:E,"Delivered") / COUNTIF(B:B,"Delta_Logistics")</f>
        <v>0.70175438596491224</v>
      </c>
      <c r="L424" s="15">
        <v>24662.880000000001</v>
      </c>
      <c r="M424" s="15">
        <v>2184.9899999999998</v>
      </c>
      <c r="N424" s="14">
        <f t="shared" si="12"/>
        <v>0.15606936416184972</v>
      </c>
      <c r="O424" s="1">
        <v>0.39</v>
      </c>
      <c r="P424" s="1">
        <f t="shared" si="13"/>
        <v>8.1384109800889115E-2</v>
      </c>
    </row>
    <row r="425" spans="1:16" x14ac:dyDescent="0.45">
      <c r="A425" t="s">
        <v>21</v>
      </c>
      <c r="B425" t="s">
        <v>22</v>
      </c>
      <c r="C425">
        <v>2023</v>
      </c>
      <c r="D425" t="s">
        <v>23</v>
      </c>
      <c r="E425" t="s">
        <v>31</v>
      </c>
      <c r="F425">
        <v>1448</v>
      </c>
      <c r="G425">
        <v>25.06</v>
      </c>
      <c r="H425">
        <v>21.62</v>
      </c>
      <c r="I425">
        <v>84</v>
      </c>
      <c r="J425" t="s">
        <v>17</v>
      </c>
      <c r="K425" s="14">
        <f>COUNTIFS(B:B,"Gamma_Co",E:E,"Partially Delivered") / COUNTIF(B:B,"Gamma_Co")</f>
        <v>0.12587412587412589</v>
      </c>
      <c r="L425" s="15">
        <v>31305.759999999998</v>
      </c>
      <c r="M425" s="15">
        <v>4981.12</v>
      </c>
      <c r="N425" s="14">
        <f t="shared" si="12"/>
        <v>5.8011049723756904E-2</v>
      </c>
      <c r="O425" s="1">
        <v>0.86</v>
      </c>
      <c r="P425" s="1">
        <f t="shared" si="13"/>
        <v>0.13727055067837182</v>
      </c>
    </row>
    <row r="426" spans="1:16" x14ac:dyDescent="0.45">
      <c r="A426" t="s">
        <v>21</v>
      </c>
      <c r="B426" t="s">
        <v>22</v>
      </c>
      <c r="C426">
        <v>2022</v>
      </c>
      <c r="D426" t="s">
        <v>26</v>
      </c>
      <c r="E426" t="s">
        <v>20</v>
      </c>
      <c r="F426">
        <v>1095</v>
      </c>
      <c r="G426">
        <v>26.91</v>
      </c>
      <c r="H426">
        <v>23.75</v>
      </c>
      <c r="I426">
        <v>53</v>
      </c>
      <c r="J426" t="s">
        <v>17</v>
      </c>
      <c r="K426" s="14">
        <f>COUNTIFS(B:B,"Gamma_Co",E:E,"Delivered") / COUNTIF(B:B,"Gamma_Co")</f>
        <v>0.72027972027972031</v>
      </c>
      <c r="L426" s="15">
        <v>26006.25</v>
      </c>
      <c r="M426" s="15">
        <v>3460.2</v>
      </c>
      <c r="N426" s="14">
        <f t="shared" si="12"/>
        <v>4.8401826484018265E-2</v>
      </c>
      <c r="O426" s="1">
        <v>0.86</v>
      </c>
      <c r="P426" s="1">
        <f t="shared" si="13"/>
        <v>0.11742846525455222</v>
      </c>
    </row>
    <row r="427" spans="1:16" x14ac:dyDescent="0.45">
      <c r="A427" t="s">
        <v>13</v>
      </c>
      <c r="B427" t="s">
        <v>14</v>
      </c>
      <c r="C427">
        <v>2022</v>
      </c>
      <c r="D427" t="s">
        <v>23</v>
      </c>
      <c r="E427" t="s">
        <v>20</v>
      </c>
      <c r="F427">
        <v>799</v>
      </c>
      <c r="G427">
        <v>56.22</v>
      </c>
      <c r="H427">
        <v>49.51</v>
      </c>
      <c r="I427">
        <v>18</v>
      </c>
      <c r="J427" t="s">
        <v>17</v>
      </c>
      <c r="K427" s="14">
        <f>COUNTIFS(B:B,"Alpha_Inc",E:E,"Delivered")/COUNTIF(B:B,"Alpha_Inc")</f>
        <v>0.75886524822695034</v>
      </c>
      <c r="L427" s="15">
        <v>39558.49</v>
      </c>
      <c r="M427" s="15">
        <v>5361.29</v>
      </c>
      <c r="N427" s="14">
        <f t="shared" si="12"/>
        <v>2.2528160200250311E-2</v>
      </c>
      <c r="O427" s="1">
        <v>0.94</v>
      </c>
      <c r="P427" s="1">
        <f t="shared" si="13"/>
        <v>0.1193525435787976</v>
      </c>
    </row>
    <row r="428" spans="1:16" x14ac:dyDescent="0.45">
      <c r="A428" t="s">
        <v>24</v>
      </c>
      <c r="B428" t="s">
        <v>25</v>
      </c>
      <c r="C428">
        <v>2023</v>
      </c>
      <c r="D428" t="s">
        <v>23</v>
      </c>
      <c r="E428" t="s">
        <v>31</v>
      </c>
      <c r="F428">
        <v>1743</v>
      </c>
      <c r="G428">
        <v>51.04</v>
      </c>
      <c r="H428">
        <v>47.15</v>
      </c>
      <c r="I428">
        <v>160</v>
      </c>
      <c r="J428" t="s">
        <v>17</v>
      </c>
      <c r="K428" s="14">
        <f>COUNTIFS(B:B,"Beta_Supplies",E:E,"Partially Delivered") / COUNTIF(B:B,"Beta_Supplies")</f>
        <v>8.3333333333333329E-2</v>
      </c>
      <c r="L428" s="15">
        <v>82182.45</v>
      </c>
      <c r="M428" s="15">
        <v>6780.27</v>
      </c>
      <c r="N428" s="14">
        <f t="shared" si="12"/>
        <v>9.1795754446356861E-2</v>
      </c>
      <c r="O428" s="1">
        <v>0.76</v>
      </c>
      <c r="P428" s="1">
        <f t="shared" si="13"/>
        <v>7.6214733542319765E-2</v>
      </c>
    </row>
    <row r="429" spans="1:16" x14ac:dyDescent="0.45">
      <c r="A429" t="s">
        <v>13</v>
      </c>
      <c r="B429" t="s">
        <v>14</v>
      </c>
      <c r="C429">
        <v>2023</v>
      </c>
      <c r="D429" t="s">
        <v>27</v>
      </c>
      <c r="E429" t="s">
        <v>20</v>
      </c>
      <c r="F429">
        <v>87</v>
      </c>
      <c r="G429">
        <v>100.65</v>
      </c>
      <c r="H429">
        <v>85.56</v>
      </c>
      <c r="I429">
        <v>1</v>
      </c>
      <c r="J429" t="s">
        <v>17</v>
      </c>
      <c r="K429" s="14">
        <f>COUNTIFS(B:B,"Alpha_Inc",E:E,"Delivered")/COUNTIF(B:B,"Alpha_Inc")</f>
        <v>0.75886524822695034</v>
      </c>
      <c r="L429" s="15">
        <v>7443.72</v>
      </c>
      <c r="M429" s="15">
        <v>1312.83</v>
      </c>
      <c r="N429" s="14">
        <f t="shared" si="12"/>
        <v>1.1494252873563218E-2</v>
      </c>
      <c r="O429" s="1">
        <v>0.94</v>
      </c>
      <c r="P429" s="1">
        <f t="shared" si="13"/>
        <v>0.14992548435171388</v>
      </c>
    </row>
    <row r="430" spans="1:16" x14ac:dyDescent="0.45">
      <c r="A430" t="s">
        <v>24</v>
      </c>
      <c r="B430" t="s">
        <v>25</v>
      </c>
      <c r="C430">
        <v>2023</v>
      </c>
      <c r="D430" t="s">
        <v>27</v>
      </c>
      <c r="E430" t="s">
        <v>20</v>
      </c>
      <c r="F430">
        <v>279</v>
      </c>
      <c r="G430">
        <v>47.52</v>
      </c>
      <c r="H430">
        <v>46.5</v>
      </c>
      <c r="I430">
        <v>28</v>
      </c>
      <c r="J430" t="s">
        <v>28</v>
      </c>
      <c r="K430" s="14">
        <f>COUNTIFS(B:B,"Beta_Supplies",E:E,"Delivered") / COUNTIF(B:B,"Beta_Supplies")</f>
        <v>0.70512820512820518</v>
      </c>
      <c r="L430" s="15">
        <v>12973.5</v>
      </c>
      <c r="M430" s="15">
        <v>284.58</v>
      </c>
      <c r="N430" s="14">
        <f t="shared" si="12"/>
        <v>0.1003584229390681</v>
      </c>
      <c r="O430" s="1">
        <v>0.24</v>
      </c>
      <c r="P430" s="1">
        <f t="shared" si="13"/>
        <v>2.146464646464653E-2</v>
      </c>
    </row>
    <row r="431" spans="1:16" x14ac:dyDescent="0.45">
      <c r="A431" t="s">
        <v>18</v>
      </c>
      <c r="B431" t="s">
        <v>19</v>
      </c>
      <c r="C431">
        <v>2023</v>
      </c>
      <c r="D431" t="s">
        <v>27</v>
      </c>
      <c r="E431" t="s">
        <v>20</v>
      </c>
      <c r="F431">
        <v>1438</v>
      </c>
      <c r="G431">
        <v>66.61</v>
      </c>
      <c r="H431">
        <v>58.5</v>
      </c>
      <c r="I431">
        <v>237</v>
      </c>
      <c r="J431" t="s">
        <v>17</v>
      </c>
      <c r="K431" s="14">
        <f>COUNTIFS(B:B,"Delta_Logistics",E:E,"Delivered") / COUNTIF(B:B,"Delta_Logistics")</f>
        <v>0.70175438596491224</v>
      </c>
      <c r="L431" s="15">
        <v>84123</v>
      </c>
      <c r="M431" s="15">
        <v>11662.18</v>
      </c>
      <c r="N431" s="14">
        <f t="shared" si="12"/>
        <v>0.16481223922114047</v>
      </c>
      <c r="O431" s="1">
        <v>0.61</v>
      </c>
      <c r="P431" s="1">
        <f t="shared" si="13"/>
        <v>0.12175349046689686</v>
      </c>
    </row>
    <row r="432" spans="1:16" x14ac:dyDescent="0.45">
      <c r="A432" t="s">
        <v>18</v>
      </c>
      <c r="B432" t="s">
        <v>19</v>
      </c>
      <c r="C432">
        <v>2023</v>
      </c>
      <c r="D432" t="s">
        <v>15</v>
      </c>
      <c r="E432" t="s">
        <v>31</v>
      </c>
      <c r="F432">
        <v>612</v>
      </c>
      <c r="G432">
        <v>72.930000000000007</v>
      </c>
      <c r="H432">
        <v>63.32</v>
      </c>
      <c r="I432">
        <v>99</v>
      </c>
      <c r="J432" t="s">
        <v>17</v>
      </c>
      <c r="K432" s="14">
        <f>COUNTIFS(B:B,"Delta_Logistics",E:E,"Partially Delivered") / COUNTIF(B:B,"Delta_Logistics")</f>
        <v>0.10526315789473684</v>
      </c>
      <c r="L432" s="15">
        <v>38751.839999999997</v>
      </c>
      <c r="M432" s="15">
        <v>5881.32</v>
      </c>
      <c r="N432" s="14">
        <f t="shared" si="12"/>
        <v>0.16176470588235295</v>
      </c>
      <c r="O432" s="1">
        <v>0.61</v>
      </c>
      <c r="P432" s="1">
        <f t="shared" si="13"/>
        <v>0.13177019059372008</v>
      </c>
    </row>
    <row r="433" spans="1:16" x14ac:dyDescent="0.45">
      <c r="A433" t="s">
        <v>29</v>
      </c>
      <c r="B433" t="s">
        <v>30</v>
      </c>
      <c r="C433">
        <v>2022</v>
      </c>
      <c r="D433" t="s">
        <v>26</v>
      </c>
      <c r="E433" t="s">
        <v>32</v>
      </c>
      <c r="F433">
        <v>487</v>
      </c>
      <c r="G433">
        <v>11.18</v>
      </c>
      <c r="H433">
        <v>10.63</v>
      </c>
      <c r="I433">
        <v>15</v>
      </c>
      <c r="J433" t="s">
        <v>17</v>
      </c>
      <c r="K433" s="14">
        <f>COUNTIFS(B:B,"Epsilon_Group",E:E,"Pending") / COUNTIF(B:B,"Epsilon_Group")</f>
        <v>0.10843373493975904</v>
      </c>
      <c r="L433" s="15">
        <v>5176.8100000000004</v>
      </c>
      <c r="M433" s="15">
        <v>267.85000000000002</v>
      </c>
      <c r="N433" s="14">
        <f t="shared" si="12"/>
        <v>3.0800821355236138E-2</v>
      </c>
      <c r="O433" s="1">
        <v>0.98</v>
      </c>
      <c r="P433" s="1">
        <f t="shared" si="13"/>
        <v>4.9194991055456078E-2</v>
      </c>
    </row>
    <row r="434" spans="1:16" x14ac:dyDescent="0.45">
      <c r="A434" t="s">
        <v>29</v>
      </c>
      <c r="B434" t="s">
        <v>30</v>
      </c>
      <c r="C434">
        <v>2022</v>
      </c>
      <c r="D434" t="s">
        <v>26</v>
      </c>
      <c r="E434" t="s">
        <v>31</v>
      </c>
      <c r="F434">
        <v>1849</v>
      </c>
      <c r="G434">
        <v>70.760000000000005</v>
      </c>
      <c r="H434">
        <v>69.25</v>
      </c>
      <c r="I434">
        <v>51</v>
      </c>
      <c r="J434" t="s">
        <v>17</v>
      </c>
      <c r="K434" s="14">
        <f>COUNTIFS(B:B,"Epsilon_Group",E:E,"Partially Delivered") / COUNTIF(B:B,"Epsilon_Group")</f>
        <v>8.4337349397590355E-2</v>
      </c>
      <c r="L434" s="15">
        <v>128043.25</v>
      </c>
      <c r="M434" s="15">
        <v>2791.99</v>
      </c>
      <c r="N434" s="14">
        <f t="shared" si="12"/>
        <v>2.7582477014602487E-2</v>
      </c>
      <c r="O434" s="1">
        <v>0.98</v>
      </c>
      <c r="P434" s="1">
        <f t="shared" si="13"/>
        <v>2.1339739966082603E-2</v>
      </c>
    </row>
    <row r="435" spans="1:16" x14ac:dyDescent="0.45">
      <c r="A435" t="s">
        <v>29</v>
      </c>
      <c r="B435" t="s">
        <v>30</v>
      </c>
      <c r="C435">
        <v>2022</v>
      </c>
      <c r="D435" t="s">
        <v>23</v>
      </c>
      <c r="E435" t="s">
        <v>31</v>
      </c>
      <c r="F435">
        <v>1356</v>
      </c>
      <c r="G435">
        <v>26.28</v>
      </c>
      <c r="H435">
        <v>25.44</v>
      </c>
      <c r="I435">
        <v>47</v>
      </c>
      <c r="J435" t="s">
        <v>17</v>
      </c>
      <c r="K435" s="14">
        <f>COUNTIFS(B:B,"Epsilon_Group",E:E,"Partially Delivered") / COUNTIF(B:B,"Epsilon_Group")</f>
        <v>8.4337349397590355E-2</v>
      </c>
      <c r="L435" s="15">
        <v>34496.639999999999</v>
      </c>
      <c r="M435" s="15">
        <v>1139.04</v>
      </c>
      <c r="N435" s="14">
        <f t="shared" si="12"/>
        <v>3.466076696165192E-2</v>
      </c>
      <c r="O435" s="1">
        <v>0.98</v>
      </c>
      <c r="P435" s="1">
        <f t="shared" si="13"/>
        <v>3.1963470319634694E-2</v>
      </c>
    </row>
    <row r="436" spans="1:16" x14ac:dyDescent="0.45">
      <c r="A436" t="s">
        <v>18</v>
      </c>
      <c r="B436" t="s">
        <v>19</v>
      </c>
      <c r="C436">
        <v>2023</v>
      </c>
      <c r="D436" t="s">
        <v>27</v>
      </c>
      <c r="E436" t="s">
        <v>20</v>
      </c>
      <c r="F436">
        <v>76</v>
      </c>
      <c r="G436">
        <v>107.59</v>
      </c>
      <c r="H436">
        <v>96.33</v>
      </c>
      <c r="I436">
        <v>10</v>
      </c>
      <c r="J436" t="s">
        <v>17</v>
      </c>
      <c r="K436" s="14">
        <f>COUNTIFS(B:B,"Delta_Logistics",E:E,"Delivered") / COUNTIF(B:B,"Delta_Logistics")</f>
        <v>0.70175438596491224</v>
      </c>
      <c r="L436" s="15">
        <v>7321.08</v>
      </c>
      <c r="M436" s="15">
        <v>855.76</v>
      </c>
      <c r="N436" s="14">
        <f t="shared" si="12"/>
        <v>0.13157894736842105</v>
      </c>
      <c r="O436" s="1">
        <v>0.61</v>
      </c>
      <c r="P436" s="1">
        <f t="shared" si="13"/>
        <v>0.10465656659540853</v>
      </c>
    </row>
    <row r="437" spans="1:16" x14ac:dyDescent="0.45">
      <c r="A437" t="s">
        <v>13</v>
      </c>
      <c r="B437" t="s">
        <v>14</v>
      </c>
      <c r="C437">
        <v>2022</v>
      </c>
      <c r="D437" t="s">
        <v>26</v>
      </c>
      <c r="E437" t="s">
        <v>31</v>
      </c>
      <c r="F437">
        <v>275</v>
      </c>
      <c r="G437">
        <v>23.96</v>
      </c>
      <c r="H437">
        <v>20.440000000000001</v>
      </c>
      <c r="I437">
        <v>24</v>
      </c>
      <c r="J437" t="s">
        <v>17</v>
      </c>
      <c r="K437" s="14">
        <f>COUNTIFS(B:B,"Alpha_Inc",E:E,"Partially Delivered")/COUNTIF(B:B,"Alpha_Inc")</f>
        <v>7.0921985815602842E-2</v>
      </c>
      <c r="L437" s="15">
        <v>5621</v>
      </c>
      <c r="M437" s="15">
        <v>968</v>
      </c>
      <c r="N437" s="14">
        <f t="shared" si="12"/>
        <v>8.727272727272728E-2</v>
      </c>
      <c r="O437" s="1">
        <v>0.94</v>
      </c>
      <c r="P437" s="1">
        <f t="shared" si="13"/>
        <v>0.14691151919866441</v>
      </c>
    </row>
    <row r="438" spans="1:16" x14ac:dyDescent="0.45">
      <c r="A438" t="s">
        <v>13</v>
      </c>
      <c r="B438" t="s">
        <v>14</v>
      </c>
      <c r="C438">
        <v>2023</v>
      </c>
      <c r="D438" t="s">
        <v>26</v>
      </c>
      <c r="E438" t="s">
        <v>20</v>
      </c>
      <c r="F438">
        <v>1350</v>
      </c>
      <c r="G438">
        <v>51.57</v>
      </c>
      <c r="H438">
        <v>48.07</v>
      </c>
      <c r="I438">
        <v>24</v>
      </c>
      <c r="J438" t="s">
        <v>17</v>
      </c>
      <c r="K438" s="14">
        <f>COUNTIFS(B:B,"Alpha_Inc",E:E,"Delivered")/COUNTIF(B:B,"Alpha_Inc")</f>
        <v>0.75886524822695034</v>
      </c>
      <c r="L438" s="15">
        <v>64894.5</v>
      </c>
      <c r="M438" s="15">
        <v>4725</v>
      </c>
      <c r="N438" s="14">
        <f t="shared" si="12"/>
        <v>1.7777777777777778E-2</v>
      </c>
      <c r="O438" s="1">
        <v>0.94</v>
      </c>
      <c r="P438" s="1">
        <f t="shared" si="13"/>
        <v>6.7868916036455298E-2</v>
      </c>
    </row>
    <row r="439" spans="1:16" x14ac:dyDescent="0.45">
      <c r="A439" t="s">
        <v>13</v>
      </c>
      <c r="B439" t="s">
        <v>14</v>
      </c>
      <c r="C439">
        <v>2022</v>
      </c>
      <c r="D439" t="s">
        <v>23</v>
      </c>
      <c r="E439" t="s">
        <v>20</v>
      </c>
      <c r="F439">
        <v>847</v>
      </c>
      <c r="G439">
        <v>17.77</v>
      </c>
      <c r="H439">
        <v>17.39</v>
      </c>
      <c r="I439">
        <v>24</v>
      </c>
      <c r="J439" t="s">
        <v>17</v>
      </c>
      <c r="K439" s="14">
        <f>COUNTIFS(B:B,"Alpha_Inc",E:E,"Delivered")/COUNTIF(B:B,"Alpha_Inc")</f>
        <v>0.75886524822695034</v>
      </c>
      <c r="L439" s="15">
        <v>14729.33</v>
      </c>
      <c r="M439" s="15">
        <v>321.86</v>
      </c>
      <c r="N439" s="14">
        <f t="shared" si="12"/>
        <v>2.833530106257379E-2</v>
      </c>
      <c r="O439" s="1">
        <v>0.94</v>
      </c>
      <c r="P439" s="1">
        <f t="shared" si="13"/>
        <v>2.138435565559927E-2</v>
      </c>
    </row>
    <row r="440" spans="1:16" x14ac:dyDescent="0.45">
      <c r="A440" t="s">
        <v>21</v>
      </c>
      <c r="B440" t="s">
        <v>22</v>
      </c>
      <c r="C440">
        <v>2023</v>
      </c>
      <c r="D440" t="s">
        <v>23</v>
      </c>
      <c r="E440" t="s">
        <v>20</v>
      </c>
      <c r="F440">
        <v>1682</v>
      </c>
      <c r="G440">
        <v>105.7</v>
      </c>
      <c r="H440">
        <v>101.3</v>
      </c>
      <c r="I440">
        <v>94</v>
      </c>
      <c r="J440" t="s">
        <v>17</v>
      </c>
      <c r="K440" s="14">
        <f>COUNTIFS(B:B,"Gamma_Co",E:E,"Delivered") / COUNTIF(B:B,"Gamma_Co")</f>
        <v>0.72027972027972031</v>
      </c>
      <c r="L440" s="15">
        <v>170386.6</v>
      </c>
      <c r="M440" s="15">
        <v>7400.8</v>
      </c>
      <c r="N440" s="14">
        <f t="shared" si="12"/>
        <v>5.5885850178359099E-2</v>
      </c>
      <c r="O440" s="1">
        <v>0.86</v>
      </c>
      <c r="P440" s="1">
        <f t="shared" si="13"/>
        <v>4.1627246925260222E-2</v>
      </c>
    </row>
    <row r="441" spans="1:16" x14ac:dyDescent="0.45">
      <c r="A441" t="s">
        <v>29</v>
      </c>
      <c r="B441" t="s">
        <v>30</v>
      </c>
      <c r="C441">
        <v>2023</v>
      </c>
      <c r="D441" t="s">
        <v>33</v>
      </c>
      <c r="E441" t="s">
        <v>20</v>
      </c>
      <c r="F441">
        <v>333</v>
      </c>
      <c r="G441">
        <v>60.44</v>
      </c>
      <c r="H441">
        <v>58.54</v>
      </c>
      <c r="I441">
        <v>8</v>
      </c>
      <c r="J441" t="s">
        <v>17</v>
      </c>
      <c r="K441" s="14">
        <f>COUNTIFS(B:B,"Epsilon_Group",E:E,"Delivered") / COUNTIF(B:B,"Epsilon_Group")</f>
        <v>0.72289156626506024</v>
      </c>
      <c r="L441" s="15">
        <v>19493.82</v>
      </c>
      <c r="M441" s="15">
        <v>632.70000000000005</v>
      </c>
      <c r="N441" s="14">
        <f t="shared" si="12"/>
        <v>2.4024024024024024E-2</v>
      </c>
      <c r="O441" s="1">
        <v>0.98</v>
      </c>
      <c r="P441" s="1">
        <f t="shared" si="13"/>
        <v>3.1436135009927181E-2</v>
      </c>
    </row>
    <row r="442" spans="1:16" x14ac:dyDescent="0.45">
      <c r="A442" t="s">
        <v>13</v>
      </c>
      <c r="B442" t="s">
        <v>14</v>
      </c>
      <c r="C442">
        <v>2023</v>
      </c>
      <c r="D442" t="s">
        <v>33</v>
      </c>
      <c r="E442" t="s">
        <v>16</v>
      </c>
      <c r="F442">
        <v>928</v>
      </c>
      <c r="G442">
        <v>69.31</v>
      </c>
      <c r="H442">
        <v>67.260000000000005</v>
      </c>
      <c r="I442">
        <v>20</v>
      </c>
      <c r="J442" t="s">
        <v>17</v>
      </c>
      <c r="K442" s="14">
        <f>COUNTIFS(B:B,"Alpha_Inc",E:E,"Cancelled") / COUNTIF(B:B,"Alpha_Inc")</f>
        <v>9.2198581560283682E-2</v>
      </c>
      <c r="L442" s="15">
        <v>62417.279999999999</v>
      </c>
      <c r="M442" s="15">
        <v>1902.4</v>
      </c>
      <c r="N442" s="14">
        <f t="shared" si="12"/>
        <v>2.1551724137931036E-2</v>
      </c>
      <c r="O442" s="1">
        <v>0.94</v>
      </c>
      <c r="P442" s="1">
        <f t="shared" si="13"/>
        <v>2.9577261578415771E-2</v>
      </c>
    </row>
    <row r="443" spans="1:16" x14ac:dyDescent="0.45">
      <c r="A443" t="s">
        <v>29</v>
      </c>
      <c r="B443" t="s">
        <v>30</v>
      </c>
      <c r="C443">
        <v>2022</v>
      </c>
      <c r="D443" t="s">
        <v>23</v>
      </c>
      <c r="E443" t="s">
        <v>31</v>
      </c>
      <c r="F443">
        <v>1009</v>
      </c>
      <c r="G443">
        <v>16.440000000000001</v>
      </c>
      <c r="H443">
        <v>16.18</v>
      </c>
      <c r="I443">
        <v>33</v>
      </c>
      <c r="J443" t="s">
        <v>17</v>
      </c>
      <c r="K443" s="14">
        <f>COUNTIFS(B:B,"Epsilon_Group",E:E,"Partially Delivered") / COUNTIF(B:B,"Epsilon_Group")</f>
        <v>8.4337349397590355E-2</v>
      </c>
      <c r="L443" s="15">
        <v>16325.62</v>
      </c>
      <c r="M443" s="15">
        <v>262.33999999999997</v>
      </c>
      <c r="N443" s="14">
        <f t="shared" si="12"/>
        <v>3.2705649157581763E-2</v>
      </c>
      <c r="O443" s="1">
        <v>0.98</v>
      </c>
      <c r="P443" s="1">
        <f t="shared" si="13"/>
        <v>1.5815085158150947E-2</v>
      </c>
    </row>
    <row r="444" spans="1:16" x14ac:dyDescent="0.45">
      <c r="A444" t="s">
        <v>29</v>
      </c>
      <c r="B444" t="s">
        <v>30</v>
      </c>
      <c r="C444">
        <v>2023</v>
      </c>
      <c r="D444" t="s">
        <v>33</v>
      </c>
      <c r="E444" t="s">
        <v>32</v>
      </c>
      <c r="F444">
        <v>1554</v>
      </c>
      <c r="G444">
        <v>82.92</v>
      </c>
      <c r="H444">
        <v>74.819999999999993</v>
      </c>
      <c r="I444">
        <v>44</v>
      </c>
      <c r="J444" t="s">
        <v>17</v>
      </c>
      <c r="K444" s="14">
        <f>COUNTIFS(B:B,"Epsilon_Group",E:E,"Pending") / COUNTIF(B:B,"Epsilon_Group")</f>
        <v>0.10843373493975904</v>
      </c>
      <c r="L444" s="15">
        <v>116270.28</v>
      </c>
      <c r="M444" s="15">
        <v>12587.4</v>
      </c>
      <c r="N444" s="14">
        <f t="shared" si="12"/>
        <v>2.8314028314028315E-2</v>
      </c>
      <c r="O444" s="1">
        <v>0.98</v>
      </c>
      <c r="P444" s="1">
        <f t="shared" si="13"/>
        <v>9.7684515195369137E-2</v>
      </c>
    </row>
    <row r="445" spans="1:16" x14ac:dyDescent="0.45">
      <c r="A445" t="s">
        <v>21</v>
      </c>
      <c r="B445" t="s">
        <v>22</v>
      </c>
      <c r="C445">
        <v>2022</v>
      </c>
      <c r="D445" t="s">
        <v>26</v>
      </c>
      <c r="E445" t="s">
        <v>31</v>
      </c>
      <c r="F445">
        <v>502</v>
      </c>
      <c r="G445">
        <v>29.47</v>
      </c>
      <c r="H445">
        <v>28.94</v>
      </c>
      <c r="I445">
        <v>27</v>
      </c>
      <c r="J445" t="s">
        <v>17</v>
      </c>
      <c r="K445" s="14">
        <f>COUNTIFS(B:B,"Gamma_Co",E:E,"Partially Delivered") / COUNTIF(B:B,"Gamma_Co")</f>
        <v>0.12587412587412589</v>
      </c>
      <c r="L445" s="15">
        <v>14527.88</v>
      </c>
      <c r="M445" s="15">
        <v>266.06</v>
      </c>
      <c r="N445" s="14">
        <f t="shared" si="12"/>
        <v>5.3784860557768925E-2</v>
      </c>
      <c r="O445" s="1">
        <v>0.86</v>
      </c>
      <c r="P445" s="1">
        <f t="shared" si="13"/>
        <v>1.7984390906006027E-2</v>
      </c>
    </row>
    <row r="446" spans="1:16" x14ac:dyDescent="0.45">
      <c r="A446" t="s">
        <v>18</v>
      </c>
      <c r="B446" t="s">
        <v>19</v>
      </c>
      <c r="C446">
        <v>2022</v>
      </c>
      <c r="D446" t="s">
        <v>23</v>
      </c>
      <c r="E446" t="s">
        <v>20</v>
      </c>
      <c r="F446">
        <v>1069</v>
      </c>
      <c r="G446">
        <v>91.28</v>
      </c>
      <c r="H446">
        <v>82.64</v>
      </c>
      <c r="I446">
        <v>155</v>
      </c>
      <c r="J446" t="s">
        <v>17</v>
      </c>
      <c r="K446" s="14">
        <f>COUNTIFS(B:B,"Delta_Logistics",E:E,"Delivered") / COUNTIF(B:B,"Delta_Logistics")</f>
        <v>0.70175438596491224</v>
      </c>
      <c r="L446" s="15">
        <v>88342.16</v>
      </c>
      <c r="M446" s="15">
        <v>9236.16</v>
      </c>
      <c r="N446" s="14">
        <f t="shared" si="12"/>
        <v>0.1449953227315248</v>
      </c>
      <c r="O446" s="1">
        <v>0.61</v>
      </c>
      <c r="P446" s="1">
        <f t="shared" si="13"/>
        <v>9.4653812445223487E-2</v>
      </c>
    </row>
    <row r="447" spans="1:16" x14ac:dyDescent="0.45">
      <c r="A447" t="s">
        <v>13</v>
      </c>
      <c r="B447" t="s">
        <v>14</v>
      </c>
      <c r="C447">
        <v>2022</v>
      </c>
      <c r="D447" t="s">
        <v>23</v>
      </c>
      <c r="E447" t="s">
        <v>32</v>
      </c>
      <c r="F447">
        <v>1902</v>
      </c>
      <c r="G447">
        <v>29.89</v>
      </c>
      <c r="H447">
        <v>25.83</v>
      </c>
      <c r="I447">
        <v>41</v>
      </c>
      <c r="J447" t="s">
        <v>17</v>
      </c>
      <c r="K447" s="14">
        <f>COUNTIFS(B:B,"Alpha_Inc",E:E,"Pending")/COUNTIF(B:B,"Alpha_Inc")</f>
        <v>7.8014184397163122E-2</v>
      </c>
      <c r="L447" s="15">
        <v>49128.66</v>
      </c>
      <c r="M447" s="15">
        <v>7722.12</v>
      </c>
      <c r="N447" s="14">
        <f t="shared" si="12"/>
        <v>2.1556256572029444E-2</v>
      </c>
      <c r="O447" s="1">
        <v>0.94</v>
      </c>
      <c r="P447" s="1">
        <f t="shared" si="13"/>
        <v>0.13583138173302114</v>
      </c>
    </row>
    <row r="448" spans="1:16" x14ac:dyDescent="0.45">
      <c r="A448" t="s">
        <v>21</v>
      </c>
      <c r="B448" t="s">
        <v>22</v>
      </c>
      <c r="C448">
        <v>2023</v>
      </c>
      <c r="D448" t="s">
        <v>27</v>
      </c>
      <c r="E448" t="s">
        <v>32</v>
      </c>
      <c r="F448">
        <v>865</v>
      </c>
      <c r="G448">
        <v>28.79</v>
      </c>
      <c r="H448">
        <v>25.69</v>
      </c>
      <c r="I448">
        <v>47</v>
      </c>
      <c r="J448" t="s">
        <v>17</v>
      </c>
      <c r="K448" s="14">
        <f>COUNTIFS(B:B,"Gamma_Co",E:E,"Pending") / COUNTIF(B:B,"Gamma_Co")</f>
        <v>0.11188811188811189</v>
      </c>
      <c r="L448" s="15">
        <v>22221.85</v>
      </c>
      <c r="M448" s="15">
        <v>2681.5</v>
      </c>
      <c r="N448" s="14">
        <f t="shared" si="12"/>
        <v>5.4335260115606937E-2</v>
      </c>
      <c r="O448" s="1">
        <v>0.86</v>
      </c>
      <c r="P448" s="1">
        <f t="shared" si="13"/>
        <v>0.10767627648489052</v>
      </c>
    </row>
    <row r="449" spans="1:16" x14ac:dyDescent="0.45">
      <c r="A449" t="s">
        <v>18</v>
      </c>
      <c r="B449" t="s">
        <v>19</v>
      </c>
      <c r="C449">
        <v>2022</v>
      </c>
      <c r="D449" t="s">
        <v>26</v>
      </c>
      <c r="E449" t="s">
        <v>31</v>
      </c>
      <c r="F449">
        <v>708</v>
      </c>
      <c r="G449">
        <v>13.36</v>
      </c>
      <c r="H449">
        <v>11.61</v>
      </c>
      <c r="I449">
        <v>155</v>
      </c>
      <c r="J449" t="s">
        <v>28</v>
      </c>
      <c r="K449" s="14">
        <f>COUNTIFS(B:B,"Delta_Logistics",E:E,"Partially Delivered") / COUNTIF(B:B,"Delta_Logistics")</f>
        <v>0.10526315789473684</v>
      </c>
      <c r="L449" s="15">
        <v>8219.8799999999992</v>
      </c>
      <c r="M449" s="15">
        <v>1239</v>
      </c>
      <c r="N449" s="14">
        <f t="shared" si="12"/>
        <v>0.21892655367231639</v>
      </c>
      <c r="O449" s="1">
        <v>0.39</v>
      </c>
      <c r="P449" s="1">
        <f t="shared" si="13"/>
        <v>0.1309880239520958</v>
      </c>
    </row>
    <row r="450" spans="1:16" x14ac:dyDescent="0.45">
      <c r="A450" t="s">
        <v>18</v>
      </c>
      <c r="B450" t="s">
        <v>19</v>
      </c>
      <c r="C450">
        <v>2023</v>
      </c>
      <c r="D450" t="s">
        <v>26</v>
      </c>
      <c r="E450" t="s">
        <v>20</v>
      </c>
      <c r="F450">
        <v>1589</v>
      </c>
      <c r="G450">
        <v>55.64</v>
      </c>
      <c r="H450">
        <v>48.52</v>
      </c>
      <c r="I450">
        <v>155</v>
      </c>
      <c r="J450" t="s">
        <v>17</v>
      </c>
      <c r="K450" s="14">
        <f>COUNTIFS(B:B,"Delta_Logistics",E:E,"Delivered") / COUNTIF(B:B,"Delta_Logistics")</f>
        <v>0.70175438596491224</v>
      </c>
      <c r="L450" s="15">
        <v>77098.28</v>
      </c>
      <c r="M450" s="15">
        <v>11313.68</v>
      </c>
      <c r="N450" s="14">
        <f t="shared" ref="N450:N513" si="14">I450/F450</f>
        <v>9.754562617998741E-2</v>
      </c>
      <c r="O450" s="1">
        <v>0.61</v>
      </c>
      <c r="P450" s="1">
        <f t="shared" si="13"/>
        <v>0.12796549245147371</v>
      </c>
    </row>
    <row r="451" spans="1:16" x14ac:dyDescent="0.45">
      <c r="A451" t="s">
        <v>13</v>
      </c>
      <c r="B451" t="s">
        <v>14</v>
      </c>
      <c r="C451">
        <v>2022</v>
      </c>
      <c r="D451" t="s">
        <v>15</v>
      </c>
      <c r="E451" t="s">
        <v>20</v>
      </c>
      <c r="F451">
        <v>596</v>
      </c>
      <c r="G451">
        <v>62.96</v>
      </c>
      <c r="H451">
        <v>61.88</v>
      </c>
      <c r="I451">
        <v>9</v>
      </c>
      <c r="J451" t="s">
        <v>17</v>
      </c>
      <c r="K451" s="14">
        <f>COUNTIFS(B:B,"Alpha_Inc",E:E,"Delivered")/COUNTIF(B:B,"Alpha_Inc")</f>
        <v>0.75886524822695034</v>
      </c>
      <c r="L451" s="15">
        <v>36880.480000000003</v>
      </c>
      <c r="M451" s="15">
        <v>643.67999999999995</v>
      </c>
      <c r="N451" s="14">
        <f t="shared" si="14"/>
        <v>1.5100671140939598E-2</v>
      </c>
      <c r="O451" s="1">
        <v>0.94</v>
      </c>
      <c r="P451" s="1">
        <f t="shared" ref="P451:P514" si="15">((G451-H451)/G451)</f>
        <v>1.7153748411689936E-2</v>
      </c>
    </row>
    <row r="452" spans="1:16" x14ac:dyDescent="0.45">
      <c r="A452" t="s">
        <v>29</v>
      </c>
      <c r="B452" t="s">
        <v>30</v>
      </c>
      <c r="C452">
        <v>2023</v>
      </c>
      <c r="D452" t="s">
        <v>15</v>
      </c>
      <c r="E452" t="s">
        <v>20</v>
      </c>
      <c r="F452">
        <v>1265</v>
      </c>
      <c r="G452">
        <v>17.66</v>
      </c>
      <c r="H452">
        <v>16.97</v>
      </c>
      <c r="I452">
        <v>34</v>
      </c>
      <c r="J452" t="s">
        <v>17</v>
      </c>
      <c r="K452" s="14">
        <f>COUNTIFS(B:B,"Epsilon_Group",E:E,"Delivered") / COUNTIF(B:B,"Epsilon_Group")</f>
        <v>0.72289156626506024</v>
      </c>
      <c r="L452" s="15">
        <v>21467.05</v>
      </c>
      <c r="M452" s="15">
        <v>872.85</v>
      </c>
      <c r="N452" s="14">
        <f t="shared" si="14"/>
        <v>2.6877470355731226E-2</v>
      </c>
      <c r="O452" s="1">
        <v>0.98</v>
      </c>
      <c r="P452" s="1">
        <f t="shared" si="15"/>
        <v>3.907134767836927E-2</v>
      </c>
    </row>
    <row r="453" spans="1:16" x14ac:dyDescent="0.45">
      <c r="A453" t="s">
        <v>24</v>
      </c>
      <c r="B453" t="s">
        <v>25</v>
      </c>
      <c r="C453">
        <v>2022</v>
      </c>
      <c r="D453" t="s">
        <v>27</v>
      </c>
      <c r="E453" t="s">
        <v>20</v>
      </c>
      <c r="F453">
        <v>1122</v>
      </c>
      <c r="G453">
        <v>82.99</v>
      </c>
      <c r="H453">
        <v>81.7</v>
      </c>
      <c r="I453">
        <v>118</v>
      </c>
      <c r="J453" t="s">
        <v>28</v>
      </c>
      <c r="K453" s="14">
        <f>COUNTIFS(B:B,"Beta_Supplies",E:E,"Delivered") / COUNTIF(B:B,"Beta_Supplies")</f>
        <v>0.70512820512820518</v>
      </c>
      <c r="L453" s="15">
        <v>91667.4</v>
      </c>
      <c r="M453" s="15">
        <v>1447.38</v>
      </c>
      <c r="N453" s="14">
        <f t="shared" si="14"/>
        <v>0.10516934046345811</v>
      </c>
      <c r="O453" s="1">
        <v>0.24</v>
      </c>
      <c r="P453" s="1">
        <f t="shared" si="15"/>
        <v>1.5544041450777106E-2</v>
      </c>
    </row>
    <row r="454" spans="1:16" x14ac:dyDescent="0.45">
      <c r="A454" t="s">
        <v>29</v>
      </c>
      <c r="B454" t="s">
        <v>30</v>
      </c>
      <c r="C454">
        <v>2023</v>
      </c>
      <c r="D454" t="s">
        <v>15</v>
      </c>
      <c r="E454" t="s">
        <v>20</v>
      </c>
      <c r="F454">
        <v>1585</v>
      </c>
      <c r="G454">
        <v>56.38</v>
      </c>
      <c r="H454">
        <v>53.05</v>
      </c>
      <c r="I454">
        <v>33</v>
      </c>
      <c r="J454" t="s">
        <v>17</v>
      </c>
      <c r="K454" s="14">
        <f>COUNTIFS(B:B,"Epsilon_Group",E:E,"Delivered") / COUNTIF(B:B,"Epsilon_Group")</f>
        <v>0.72289156626506024</v>
      </c>
      <c r="L454" s="15">
        <v>84084.25</v>
      </c>
      <c r="M454" s="15">
        <v>5278.05</v>
      </c>
      <c r="N454" s="14">
        <f t="shared" si="14"/>
        <v>2.082018927444795E-2</v>
      </c>
      <c r="O454" s="1">
        <v>0.98</v>
      </c>
      <c r="P454" s="1">
        <f t="shared" si="15"/>
        <v>5.9063497694217898E-2</v>
      </c>
    </row>
    <row r="455" spans="1:16" x14ac:dyDescent="0.45">
      <c r="A455" t="s">
        <v>29</v>
      </c>
      <c r="B455" t="s">
        <v>30</v>
      </c>
      <c r="C455">
        <v>2022</v>
      </c>
      <c r="D455" t="s">
        <v>33</v>
      </c>
      <c r="E455" t="s">
        <v>20</v>
      </c>
      <c r="F455">
        <v>66</v>
      </c>
      <c r="G455">
        <v>58.05</v>
      </c>
      <c r="H455">
        <v>50.76</v>
      </c>
      <c r="I455">
        <v>33</v>
      </c>
      <c r="J455" t="s">
        <v>17</v>
      </c>
      <c r="K455" s="14">
        <f>COUNTIFS(B:B,"Epsilon_Group",E:E,"Delivered") / COUNTIF(B:B,"Epsilon_Group")</f>
        <v>0.72289156626506024</v>
      </c>
      <c r="L455" s="15">
        <v>3350.16</v>
      </c>
      <c r="M455" s="15">
        <v>481.14</v>
      </c>
      <c r="N455" s="14">
        <f t="shared" si="14"/>
        <v>0.5</v>
      </c>
      <c r="O455" s="1">
        <v>0.98</v>
      </c>
      <c r="P455" s="1">
        <f t="shared" si="15"/>
        <v>0.12558139534883719</v>
      </c>
    </row>
    <row r="456" spans="1:16" x14ac:dyDescent="0.45">
      <c r="A456" t="s">
        <v>24</v>
      </c>
      <c r="B456" t="s">
        <v>25</v>
      </c>
      <c r="C456">
        <v>2022</v>
      </c>
      <c r="D456" t="s">
        <v>23</v>
      </c>
      <c r="E456" t="s">
        <v>20</v>
      </c>
      <c r="F456">
        <v>1245</v>
      </c>
      <c r="G456">
        <v>52.4</v>
      </c>
      <c r="H456">
        <v>51.65</v>
      </c>
      <c r="I456">
        <v>118</v>
      </c>
      <c r="J456" t="s">
        <v>28</v>
      </c>
      <c r="K456" s="14">
        <f>COUNTIFS(B:B,"Beta_Supplies",E:E,"Delivered") / COUNTIF(B:B,"Beta_Supplies")</f>
        <v>0.70512820512820518</v>
      </c>
      <c r="L456" s="15">
        <v>64304.25</v>
      </c>
      <c r="M456" s="15">
        <v>933.75</v>
      </c>
      <c r="N456" s="14">
        <f t="shared" si="14"/>
        <v>9.4779116465863456E-2</v>
      </c>
      <c r="O456" s="1">
        <v>0.24</v>
      </c>
      <c r="P456" s="1">
        <f t="shared" si="15"/>
        <v>1.4312977099236641E-2</v>
      </c>
    </row>
    <row r="457" spans="1:16" x14ac:dyDescent="0.45">
      <c r="A457" t="s">
        <v>18</v>
      </c>
      <c r="B457" t="s">
        <v>19</v>
      </c>
      <c r="C457">
        <v>2023</v>
      </c>
      <c r="D457" t="s">
        <v>33</v>
      </c>
      <c r="E457" t="s">
        <v>20</v>
      </c>
      <c r="F457">
        <v>1293</v>
      </c>
      <c r="G457">
        <v>50.21</v>
      </c>
      <c r="H457">
        <v>47.55</v>
      </c>
      <c r="I457">
        <v>155</v>
      </c>
      <c r="J457" t="s">
        <v>28</v>
      </c>
      <c r="K457" s="14">
        <f>COUNTIFS(B:B,"Delta_Logistics",E:E,"Delivered") / COUNTIF(B:B,"Delta_Logistics")</f>
        <v>0.70175438596491224</v>
      </c>
      <c r="L457" s="15">
        <v>61482.15</v>
      </c>
      <c r="M457" s="15">
        <v>3439.38</v>
      </c>
      <c r="N457" s="14">
        <f t="shared" si="14"/>
        <v>0.11987625676720805</v>
      </c>
      <c r="O457" s="1">
        <v>0.39</v>
      </c>
      <c r="P457" s="1">
        <f t="shared" si="15"/>
        <v>5.297749452300346E-2</v>
      </c>
    </row>
    <row r="458" spans="1:16" x14ac:dyDescent="0.45">
      <c r="A458" t="s">
        <v>24</v>
      </c>
      <c r="B458" t="s">
        <v>25</v>
      </c>
      <c r="C458">
        <v>2023</v>
      </c>
      <c r="D458" t="s">
        <v>26</v>
      </c>
      <c r="E458" t="s">
        <v>20</v>
      </c>
      <c r="F458">
        <v>207</v>
      </c>
      <c r="G458">
        <v>64.290000000000006</v>
      </c>
      <c r="H458">
        <v>63.01</v>
      </c>
      <c r="I458">
        <v>25</v>
      </c>
      <c r="J458" t="s">
        <v>17</v>
      </c>
      <c r="K458" s="14">
        <f>COUNTIFS(B:B,"Beta_Supplies",E:E,"Delivered") / COUNTIF(B:B,"Beta_Supplies")</f>
        <v>0.70512820512820518</v>
      </c>
      <c r="L458" s="15">
        <v>13043.07</v>
      </c>
      <c r="M458" s="15">
        <v>264.95999999999998</v>
      </c>
      <c r="N458" s="14">
        <f t="shared" si="14"/>
        <v>0.12077294685990338</v>
      </c>
      <c r="O458" s="1">
        <v>0.76</v>
      </c>
      <c r="P458" s="1">
        <f t="shared" si="15"/>
        <v>1.9909783792191757E-2</v>
      </c>
    </row>
    <row r="459" spans="1:16" x14ac:dyDescent="0.45">
      <c r="A459" t="s">
        <v>24</v>
      </c>
      <c r="B459" t="s">
        <v>25</v>
      </c>
      <c r="C459">
        <v>2023</v>
      </c>
      <c r="D459" t="s">
        <v>15</v>
      </c>
      <c r="E459" t="s">
        <v>20</v>
      </c>
      <c r="F459">
        <v>526</v>
      </c>
      <c r="G459">
        <v>26.37</v>
      </c>
      <c r="H459">
        <v>25.32</v>
      </c>
      <c r="I459">
        <v>47</v>
      </c>
      <c r="J459" t="s">
        <v>17</v>
      </c>
      <c r="K459" s="14">
        <f>COUNTIFS(B:B,"Beta_Supplies",E:E,"Delivered") / COUNTIF(B:B,"Beta_Supplies")</f>
        <v>0.70512820512820518</v>
      </c>
      <c r="L459" s="15">
        <v>13318.32</v>
      </c>
      <c r="M459" s="15">
        <v>552.29999999999995</v>
      </c>
      <c r="N459" s="14">
        <f t="shared" si="14"/>
        <v>8.9353612167300381E-2</v>
      </c>
      <c r="O459" s="1">
        <v>0.76</v>
      </c>
      <c r="P459" s="1">
        <f t="shared" si="15"/>
        <v>3.9817974971558617E-2</v>
      </c>
    </row>
    <row r="460" spans="1:16" x14ac:dyDescent="0.45">
      <c r="A460" t="s">
        <v>21</v>
      </c>
      <c r="B460" t="s">
        <v>22</v>
      </c>
      <c r="C460">
        <v>2022</v>
      </c>
      <c r="D460" t="s">
        <v>33</v>
      </c>
      <c r="E460" t="s">
        <v>20</v>
      </c>
      <c r="F460">
        <v>1119</v>
      </c>
      <c r="G460">
        <v>27.03</v>
      </c>
      <c r="H460">
        <v>23.82</v>
      </c>
      <c r="I460">
        <v>55</v>
      </c>
      <c r="J460" t="s">
        <v>17</v>
      </c>
      <c r="K460" s="14">
        <f>COUNTIFS(B:B,"Gamma_Co",E:E,"Delivered") / COUNTIF(B:B,"Gamma_Co")</f>
        <v>0.72027972027972031</v>
      </c>
      <c r="L460" s="15">
        <v>26654.58</v>
      </c>
      <c r="M460" s="15">
        <v>3591.99</v>
      </c>
      <c r="N460" s="14">
        <f t="shared" si="14"/>
        <v>4.9151027703306524E-2</v>
      </c>
      <c r="O460" s="1">
        <v>0.86</v>
      </c>
      <c r="P460" s="1">
        <f t="shared" si="15"/>
        <v>0.11875693673695896</v>
      </c>
    </row>
    <row r="461" spans="1:16" x14ac:dyDescent="0.45">
      <c r="A461" t="s">
        <v>21</v>
      </c>
      <c r="B461" t="s">
        <v>22</v>
      </c>
      <c r="C461">
        <v>2022</v>
      </c>
      <c r="D461" t="s">
        <v>26</v>
      </c>
      <c r="E461" t="s">
        <v>20</v>
      </c>
      <c r="F461">
        <v>1446</v>
      </c>
      <c r="G461">
        <v>90.63</v>
      </c>
      <c r="H461">
        <v>84.51</v>
      </c>
      <c r="I461">
        <v>77</v>
      </c>
      <c r="J461" t="s">
        <v>17</v>
      </c>
      <c r="K461" s="14">
        <f>COUNTIFS(B:B,"Gamma_Co",E:E,"Delivered") / COUNTIF(B:B,"Gamma_Co")</f>
        <v>0.72027972027972031</v>
      </c>
      <c r="L461" s="15">
        <v>122201.46</v>
      </c>
      <c r="M461" s="15">
        <v>8849.52</v>
      </c>
      <c r="N461" s="14">
        <f t="shared" si="14"/>
        <v>5.3250345781466112E-2</v>
      </c>
      <c r="O461" s="1">
        <v>0.86</v>
      </c>
      <c r="P461" s="1">
        <f t="shared" si="15"/>
        <v>6.752730883813296E-2</v>
      </c>
    </row>
    <row r="462" spans="1:16" x14ac:dyDescent="0.45">
      <c r="A462" t="s">
        <v>21</v>
      </c>
      <c r="B462" t="s">
        <v>22</v>
      </c>
      <c r="C462">
        <v>2022</v>
      </c>
      <c r="D462" t="s">
        <v>15</v>
      </c>
      <c r="E462" t="s">
        <v>20</v>
      </c>
      <c r="F462">
        <v>567</v>
      </c>
      <c r="G462">
        <v>97.53</v>
      </c>
      <c r="H462">
        <v>85.29</v>
      </c>
      <c r="I462">
        <v>21</v>
      </c>
      <c r="J462" t="s">
        <v>17</v>
      </c>
      <c r="K462" s="14">
        <f>COUNTIFS(B:B,"Gamma_Co",E:E,"Delivered") / COUNTIF(B:B,"Gamma_Co")</f>
        <v>0.72027972027972031</v>
      </c>
      <c r="L462" s="15">
        <v>48359.43</v>
      </c>
      <c r="M462" s="15">
        <v>6940.08</v>
      </c>
      <c r="N462" s="14">
        <f t="shared" si="14"/>
        <v>3.7037037037037035E-2</v>
      </c>
      <c r="O462" s="1">
        <v>0.86</v>
      </c>
      <c r="P462" s="1">
        <f t="shared" si="15"/>
        <v>0.12549984620116883</v>
      </c>
    </row>
    <row r="463" spans="1:16" x14ac:dyDescent="0.45">
      <c r="A463" t="s">
        <v>18</v>
      </c>
      <c r="B463" t="s">
        <v>19</v>
      </c>
      <c r="C463">
        <v>2022</v>
      </c>
      <c r="D463" t="s">
        <v>23</v>
      </c>
      <c r="E463" t="s">
        <v>20</v>
      </c>
      <c r="F463">
        <v>148</v>
      </c>
      <c r="G463">
        <v>44.91</v>
      </c>
      <c r="H463">
        <v>40.1</v>
      </c>
      <c r="I463">
        <v>155</v>
      </c>
      <c r="J463" t="s">
        <v>28</v>
      </c>
      <c r="K463" s="14">
        <f>COUNTIFS(B:B,"Delta_Logistics",E:E,"Delivered") / COUNTIF(B:B,"Delta_Logistics")</f>
        <v>0.70175438596491224</v>
      </c>
      <c r="L463" s="15">
        <v>5934.8</v>
      </c>
      <c r="M463" s="15">
        <v>711.88</v>
      </c>
      <c r="N463" s="14">
        <f t="shared" si="14"/>
        <v>1.0472972972972974</v>
      </c>
      <c r="O463" s="1">
        <v>0.39</v>
      </c>
      <c r="P463" s="1">
        <f t="shared" si="15"/>
        <v>0.10710309507904689</v>
      </c>
    </row>
    <row r="464" spans="1:16" x14ac:dyDescent="0.45">
      <c r="A464" t="s">
        <v>24</v>
      </c>
      <c r="B464" t="s">
        <v>25</v>
      </c>
      <c r="C464">
        <v>2023</v>
      </c>
      <c r="D464" t="s">
        <v>23</v>
      </c>
      <c r="E464" t="s">
        <v>32</v>
      </c>
      <c r="F464">
        <v>1965</v>
      </c>
      <c r="G464">
        <v>36.6</v>
      </c>
      <c r="H464">
        <v>34.64</v>
      </c>
      <c r="I464">
        <v>195</v>
      </c>
      <c r="J464" t="s">
        <v>17</v>
      </c>
      <c r="K464" s="14">
        <f>COUNTIFS(B:B,"Beta_Supplies",E:E,"Pending") / COUNTIF(B:B,"Beta_Supplies")</f>
        <v>0.12179487179487179</v>
      </c>
      <c r="L464" s="15">
        <v>68067.600000000006</v>
      </c>
      <c r="M464" s="15">
        <v>3851.4</v>
      </c>
      <c r="N464" s="14">
        <f t="shared" si="14"/>
        <v>9.9236641221374045E-2</v>
      </c>
      <c r="O464" s="1">
        <v>0.76</v>
      </c>
      <c r="P464" s="1">
        <f t="shared" si="15"/>
        <v>5.3551912568306034E-2</v>
      </c>
    </row>
    <row r="465" spans="1:16" x14ac:dyDescent="0.45">
      <c r="A465" t="s">
        <v>13</v>
      </c>
      <c r="B465" t="s">
        <v>14</v>
      </c>
      <c r="C465">
        <v>2022</v>
      </c>
      <c r="D465" t="s">
        <v>15</v>
      </c>
      <c r="E465" t="s">
        <v>32</v>
      </c>
      <c r="F465">
        <v>1818</v>
      </c>
      <c r="G465">
        <v>67.959999999999994</v>
      </c>
      <c r="H465">
        <v>58.98</v>
      </c>
      <c r="I465">
        <v>24</v>
      </c>
      <c r="J465" t="s">
        <v>17</v>
      </c>
      <c r="K465" s="14">
        <f>COUNTIFS(B:B,"Alpha_Inc",E:E,"Pending")/COUNTIF(B:B,"Alpha_Inc")</f>
        <v>7.8014184397163122E-2</v>
      </c>
      <c r="L465" s="15">
        <v>107225.64</v>
      </c>
      <c r="M465" s="15">
        <v>16325.64</v>
      </c>
      <c r="N465" s="14">
        <f t="shared" si="14"/>
        <v>1.3201320132013201E-2</v>
      </c>
      <c r="O465" s="1">
        <v>0.94</v>
      </c>
      <c r="P465" s="1">
        <f t="shared" si="15"/>
        <v>0.13213655091230131</v>
      </c>
    </row>
    <row r="466" spans="1:16" x14ac:dyDescent="0.45">
      <c r="A466" t="s">
        <v>24</v>
      </c>
      <c r="B466" t="s">
        <v>25</v>
      </c>
      <c r="C466">
        <v>2022</v>
      </c>
      <c r="D466" t="s">
        <v>23</v>
      </c>
      <c r="E466" t="s">
        <v>20</v>
      </c>
      <c r="F466">
        <v>1110</v>
      </c>
      <c r="G466">
        <v>48.19</v>
      </c>
      <c r="H466">
        <v>45.88</v>
      </c>
      <c r="I466">
        <v>112</v>
      </c>
      <c r="J466" t="s">
        <v>17</v>
      </c>
      <c r="K466" s="14">
        <f>COUNTIFS(B:B,"Beta_Supplies",E:E,"Delivered") / COUNTIF(B:B,"Beta_Supplies")</f>
        <v>0.70512820512820518</v>
      </c>
      <c r="L466" s="15">
        <v>50926.8</v>
      </c>
      <c r="M466" s="15">
        <v>2564.1</v>
      </c>
      <c r="N466" s="14">
        <f t="shared" si="14"/>
        <v>0.1009009009009009</v>
      </c>
      <c r="O466" s="1">
        <v>0.76</v>
      </c>
      <c r="P466" s="1">
        <f t="shared" si="15"/>
        <v>4.7935256277235841E-2</v>
      </c>
    </row>
    <row r="467" spans="1:16" x14ac:dyDescent="0.45">
      <c r="A467" t="s">
        <v>18</v>
      </c>
      <c r="B467" t="s">
        <v>19</v>
      </c>
      <c r="C467">
        <v>2022</v>
      </c>
      <c r="D467" t="s">
        <v>27</v>
      </c>
      <c r="E467" t="s">
        <v>20</v>
      </c>
      <c r="F467">
        <v>329</v>
      </c>
      <c r="G467">
        <v>12.96</v>
      </c>
      <c r="H467">
        <v>12.74</v>
      </c>
      <c r="I467">
        <v>48</v>
      </c>
      <c r="J467" t="s">
        <v>17</v>
      </c>
      <c r="K467" s="14">
        <f>COUNTIFS(B:B,"Delta_Logistics",E:E,"Delivered") / COUNTIF(B:B,"Delta_Logistics")</f>
        <v>0.70175438596491224</v>
      </c>
      <c r="L467" s="15">
        <v>4191.46</v>
      </c>
      <c r="M467" s="15">
        <v>72.38</v>
      </c>
      <c r="N467" s="14">
        <f t="shared" si="14"/>
        <v>0.1458966565349544</v>
      </c>
      <c r="O467" s="1">
        <v>0.61</v>
      </c>
      <c r="P467" s="1">
        <f t="shared" si="15"/>
        <v>1.6975308641975356E-2</v>
      </c>
    </row>
    <row r="468" spans="1:16" x14ac:dyDescent="0.45">
      <c r="A468" t="s">
        <v>21</v>
      </c>
      <c r="B468" t="s">
        <v>22</v>
      </c>
      <c r="C468">
        <v>2023</v>
      </c>
      <c r="D468" t="s">
        <v>15</v>
      </c>
      <c r="E468" t="s">
        <v>16</v>
      </c>
      <c r="F468">
        <v>1422</v>
      </c>
      <c r="G468">
        <v>25.62</v>
      </c>
      <c r="H468">
        <v>25.18</v>
      </c>
      <c r="I468">
        <v>65</v>
      </c>
      <c r="J468" t="s">
        <v>17</v>
      </c>
      <c r="K468" s="14">
        <f>COUNTIFS(B:B,"Gamma_Co",E:E,"Cancelled") / COUNTIF(B:B,"Gamma_Co")</f>
        <v>4.195804195804196E-2</v>
      </c>
      <c r="L468" s="15">
        <v>35805.96</v>
      </c>
      <c r="M468" s="15">
        <v>625.67999999999995</v>
      </c>
      <c r="N468" s="14">
        <f t="shared" si="14"/>
        <v>4.5710267229254573E-2</v>
      </c>
      <c r="O468" s="1">
        <v>0.86</v>
      </c>
      <c r="P468" s="1">
        <f t="shared" si="15"/>
        <v>1.717408274785329E-2</v>
      </c>
    </row>
    <row r="469" spans="1:16" x14ac:dyDescent="0.45">
      <c r="A469" t="s">
        <v>18</v>
      </c>
      <c r="B469" t="s">
        <v>19</v>
      </c>
      <c r="C469">
        <v>2023</v>
      </c>
      <c r="D469" t="s">
        <v>27</v>
      </c>
      <c r="E469" t="s">
        <v>20</v>
      </c>
      <c r="F469">
        <v>546</v>
      </c>
      <c r="G469">
        <v>82.63</v>
      </c>
      <c r="H469">
        <v>74.77</v>
      </c>
      <c r="I469">
        <v>76</v>
      </c>
      <c r="J469" t="s">
        <v>28</v>
      </c>
      <c r="K469" s="14">
        <f>COUNTIFS(B:B,"Delta_Logistics",E:E,"Delivered") / COUNTIF(B:B,"Delta_Logistics")</f>
        <v>0.70175438596491224</v>
      </c>
      <c r="L469" s="15">
        <v>40824.42</v>
      </c>
      <c r="M469" s="15">
        <v>4291.5600000000004</v>
      </c>
      <c r="N469" s="14">
        <f t="shared" si="14"/>
        <v>0.1391941391941392</v>
      </c>
      <c r="O469" s="1">
        <v>0.39</v>
      </c>
      <c r="P469" s="1">
        <f t="shared" si="15"/>
        <v>9.5122836742103353E-2</v>
      </c>
    </row>
    <row r="470" spans="1:16" x14ac:dyDescent="0.45">
      <c r="A470" t="s">
        <v>21</v>
      </c>
      <c r="B470" t="s">
        <v>22</v>
      </c>
      <c r="C470">
        <v>2022</v>
      </c>
      <c r="D470" t="s">
        <v>15</v>
      </c>
      <c r="E470" t="s">
        <v>31</v>
      </c>
      <c r="F470">
        <v>351</v>
      </c>
      <c r="G470">
        <v>72.08</v>
      </c>
      <c r="H470">
        <v>71.3</v>
      </c>
      <c r="I470">
        <v>20</v>
      </c>
      <c r="J470" t="s">
        <v>17</v>
      </c>
      <c r="K470" s="14">
        <f>COUNTIFS(B:B,"Gamma_Co",E:E,"Partially Delivered") / COUNTIF(B:B,"Gamma_Co")</f>
        <v>0.12587412587412589</v>
      </c>
      <c r="L470" s="15">
        <v>25026.3</v>
      </c>
      <c r="M470" s="15">
        <v>273.77999999999997</v>
      </c>
      <c r="N470" s="14">
        <f t="shared" si="14"/>
        <v>5.6980056980056981E-2</v>
      </c>
      <c r="O470" s="1">
        <v>0.86</v>
      </c>
      <c r="P470" s="1">
        <f t="shared" si="15"/>
        <v>1.0821309655937862E-2</v>
      </c>
    </row>
    <row r="471" spans="1:16" x14ac:dyDescent="0.45">
      <c r="A471" t="s">
        <v>18</v>
      </c>
      <c r="B471" t="s">
        <v>19</v>
      </c>
      <c r="C471">
        <v>2022</v>
      </c>
      <c r="D471" t="s">
        <v>27</v>
      </c>
      <c r="E471" t="s">
        <v>31</v>
      </c>
      <c r="F471">
        <v>230</v>
      </c>
      <c r="G471">
        <v>13</v>
      </c>
      <c r="H471">
        <v>12.81</v>
      </c>
      <c r="I471">
        <v>155</v>
      </c>
      <c r="J471" t="s">
        <v>28</v>
      </c>
      <c r="K471" s="14">
        <f>COUNTIFS(B:B,"Delta_Logistics",E:E,"Partially Delivered") / COUNTIF(B:B,"Delta_Logistics")</f>
        <v>0.10526315789473684</v>
      </c>
      <c r="L471" s="15">
        <v>2946.3</v>
      </c>
      <c r="M471" s="15">
        <v>43.7</v>
      </c>
      <c r="N471" s="14">
        <f t="shared" si="14"/>
        <v>0.67391304347826086</v>
      </c>
      <c r="O471" s="1">
        <v>0.39</v>
      </c>
      <c r="P471" s="1">
        <f t="shared" si="15"/>
        <v>1.4615384615384577E-2</v>
      </c>
    </row>
    <row r="472" spans="1:16" x14ac:dyDescent="0.45">
      <c r="A472" t="s">
        <v>13</v>
      </c>
      <c r="B472" t="s">
        <v>14</v>
      </c>
      <c r="C472">
        <v>2022</v>
      </c>
      <c r="D472" t="s">
        <v>23</v>
      </c>
      <c r="E472" t="s">
        <v>20</v>
      </c>
      <c r="F472">
        <v>656</v>
      </c>
      <c r="G472">
        <v>30.73</v>
      </c>
      <c r="H472">
        <v>26.26</v>
      </c>
      <c r="I472">
        <v>17</v>
      </c>
      <c r="J472" t="s">
        <v>17</v>
      </c>
      <c r="K472" s="14">
        <f>COUNTIFS(B:B,"Alpha_Inc",E:E,"Delivered")/COUNTIF(B:B,"Alpha_Inc")</f>
        <v>0.75886524822695034</v>
      </c>
      <c r="L472" s="15">
        <v>17226.560000000001</v>
      </c>
      <c r="M472" s="15">
        <v>2932.32</v>
      </c>
      <c r="N472" s="14">
        <f t="shared" si="14"/>
        <v>2.5914634146341462E-2</v>
      </c>
      <c r="O472" s="1">
        <v>0.94</v>
      </c>
      <c r="P472" s="1">
        <f t="shared" si="15"/>
        <v>0.14546046208916363</v>
      </c>
    </row>
    <row r="473" spans="1:16" x14ac:dyDescent="0.45">
      <c r="A473" t="s">
        <v>21</v>
      </c>
      <c r="B473" t="s">
        <v>22</v>
      </c>
      <c r="C473">
        <v>2023</v>
      </c>
      <c r="D473" t="s">
        <v>23</v>
      </c>
      <c r="E473" t="s">
        <v>20</v>
      </c>
      <c r="F473">
        <v>1172</v>
      </c>
      <c r="G473">
        <v>34.340000000000003</v>
      </c>
      <c r="H473">
        <v>32.090000000000003</v>
      </c>
      <c r="I473">
        <v>69</v>
      </c>
      <c r="J473" t="s">
        <v>17</v>
      </c>
      <c r="K473" s="14">
        <f>COUNTIFS(B:B,"Gamma_Co",E:E,"Delivered") / COUNTIF(B:B,"Gamma_Co")</f>
        <v>0.72027972027972031</v>
      </c>
      <c r="L473" s="15">
        <v>37609.480000000003</v>
      </c>
      <c r="M473" s="15">
        <v>2637</v>
      </c>
      <c r="N473" s="14">
        <f t="shared" si="14"/>
        <v>5.8873720136518773E-2</v>
      </c>
      <c r="O473" s="1">
        <v>0.86</v>
      </c>
      <c r="P473" s="1">
        <f t="shared" si="15"/>
        <v>6.5521258008153754E-2</v>
      </c>
    </row>
    <row r="474" spans="1:16" x14ac:dyDescent="0.45">
      <c r="A474" t="s">
        <v>21</v>
      </c>
      <c r="B474" t="s">
        <v>22</v>
      </c>
      <c r="C474">
        <v>2022</v>
      </c>
      <c r="D474" t="s">
        <v>33</v>
      </c>
      <c r="E474" t="s">
        <v>20</v>
      </c>
      <c r="F474">
        <v>749</v>
      </c>
      <c r="G474">
        <v>71.53</v>
      </c>
      <c r="H474">
        <v>70.02</v>
      </c>
      <c r="I474">
        <v>41</v>
      </c>
      <c r="J474" t="s">
        <v>17</v>
      </c>
      <c r="K474" s="14">
        <f>COUNTIFS(B:B,"Gamma_Co",E:E,"Delivered") / COUNTIF(B:B,"Gamma_Co")</f>
        <v>0.72027972027972031</v>
      </c>
      <c r="L474" s="15">
        <v>52444.98</v>
      </c>
      <c r="M474" s="15">
        <v>1130.99</v>
      </c>
      <c r="N474" s="14">
        <f t="shared" si="14"/>
        <v>5.4739652870493989E-2</v>
      </c>
      <c r="O474" s="1">
        <v>0.86</v>
      </c>
      <c r="P474" s="1">
        <f t="shared" si="15"/>
        <v>2.1110023766251994E-2</v>
      </c>
    </row>
    <row r="475" spans="1:16" x14ac:dyDescent="0.45">
      <c r="A475" t="s">
        <v>24</v>
      </c>
      <c r="B475" t="s">
        <v>25</v>
      </c>
      <c r="C475">
        <v>2023</v>
      </c>
      <c r="D475" t="s">
        <v>26</v>
      </c>
      <c r="E475" t="s">
        <v>20</v>
      </c>
      <c r="F475">
        <v>1042</v>
      </c>
      <c r="G475">
        <v>12.48</v>
      </c>
      <c r="H475">
        <v>12.3</v>
      </c>
      <c r="I475">
        <v>88</v>
      </c>
      <c r="J475" t="s">
        <v>17</v>
      </c>
      <c r="K475" s="14">
        <f>COUNTIFS(B:B,"Beta_Supplies",E:E,"Delivered") / COUNTIF(B:B,"Beta_Supplies")</f>
        <v>0.70512820512820518</v>
      </c>
      <c r="L475" s="15">
        <v>12816.6</v>
      </c>
      <c r="M475" s="15">
        <v>187.56</v>
      </c>
      <c r="N475" s="14">
        <f t="shared" si="14"/>
        <v>8.4452975047984644E-2</v>
      </c>
      <c r="O475" s="1">
        <v>0.76</v>
      </c>
      <c r="P475" s="1">
        <f t="shared" si="15"/>
        <v>1.44230769230769E-2</v>
      </c>
    </row>
    <row r="476" spans="1:16" x14ac:dyDescent="0.45">
      <c r="A476" t="s">
        <v>18</v>
      </c>
      <c r="B476" t="s">
        <v>19</v>
      </c>
      <c r="C476">
        <v>2022</v>
      </c>
      <c r="D476" t="s">
        <v>27</v>
      </c>
      <c r="E476" t="s">
        <v>20</v>
      </c>
      <c r="F476">
        <v>1189</v>
      </c>
      <c r="G476">
        <v>19.47</v>
      </c>
      <c r="H476">
        <v>17.149999999999999</v>
      </c>
      <c r="I476">
        <v>155</v>
      </c>
      <c r="J476" t="s">
        <v>28</v>
      </c>
      <c r="K476" s="14">
        <f>COUNTIFS(B:B,"Delta_Logistics",E:E,"Delivered") / COUNTIF(B:B,"Delta_Logistics")</f>
        <v>0.70175438596491224</v>
      </c>
      <c r="L476" s="15">
        <v>20391.349999999999</v>
      </c>
      <c r="M476" s="15">
        <v>2758.48</v>
      </c>
      <c r="N476" s="14">
        <f t="shared" si="14"/>
        <v>0.13036164844407064</v>
      </c>
      <c r="O476" s="1">
        <v>0.39</v>
      </c>
      <c r="P476" s="1">
        <f t="shared" si="15"/>
        <v>0.1191576784797124</v>
      </c>
    </row>
    <row r="477" spans="1:16" x14ac:dyDescent="0.45">
      <c r="A477" t="s">
        <v>29</v>
      </c>
      <c r="B477" t="s">
        <v>30</v>
      </c>
      <c r="C477">
        <v>2023</v>
      </c>
      <c r="D477" t="s">
        <v>15</v>
      </c>
      <c r="E477" t="s">
        <v>20</v>
      </c>
      <c r="F477">
        <v>240</v>
      </c>
      <c r="G477">
        <v>88.14</v>
      </c>
      <c r="H477">
        <v>81.900000000000006</v>
      </c>
      <c r="I477">
        <v>4</v>
      </c>
      <c r="J477" t="s">
        <v>17</v>
      </c>
      <c r="K477" s="14">
        <f>COUNTIFS(B:B,"Epsilon_Group",E:E,"Delivered") / COUNTIF(B:B,"Epsilon_Group")</f>
        <v>0.72289156626506024</v>
      </c>
      <c r="L477" s="15">
        <v>19656</v>
      </c>
      <c r="M477" s="15">
        <v>1497.6</v>
      </c>
      <c r="N477" s="14">
        <f t="shared" si="14"/>
        <v>1.6666666666666666E-2</v>
      </c>
      <c r="O477" s="1">
        <v>0.98</v>
      </c>
      <c r="P477" s="1">
        <f t="shared" si="15"/>
        <v>7.0796460176991094E-2</v>
      </c>
    </row>
    <row r="478" spans="1:16" x14ac:dyDescent="0.45">
      <c r="A478" t="s">
        <v>29</v>
      </c>
      <c r="B478" t="s">
        <v>30</v>
      </c>
      <c r="C478">
        <v>2022</v>
      </c>
      <c r="D478" t="s">
        <v>23</v>
      </c>
      <c r="E478" t="s">
        <v>20</v>
      </c>
      <c r="F478">
        <v>302</v>
      </c>
      <c r="G478">
        <v>26.98</v>
      </c>
      <c r="H478">
        <v>26.47</v>
      </c>
      <c r="I478">
        <v>9</v>
      </c>
      <c r="J478" t="s">
        <v>17</v>
      </c>
      <c r="K478" s="14">
        <f>COUNTIFS(B:B,"Epsilon_Group",E:E,"Delivered") / COUNTIF(B:B,"Epsilon_Group")</f>
        <v>0.72289156626506024</v>
      </c>
      <c r="L478" s="15">
        <v>7993.94</v>
      </c>
      <c r="M478" s="15">
        <v>154.02000000000001</v>
      </c>
      <c r="N478" s="14">
        <f t="shared" si="14"/>
        <v>2.9801324503311258E-2</v>
      </c>
      <c r="O478" s="1">
        <v>0.98</v>
      </c>
      <c r="P478" s="1">
        <f t="shared" si="15"/>
        <v>1.890289103039294E-2</v>
      </c>
    </row>
    <row r="479" spans="1:16" x14ac:dyDescent="0.45">
      <c r="A479" t="s">
        <v>24</v>
      </c>
      <c r="B479" t="s">
        <v>25</v>
      </c>
      <c r="C479">
        <v>2022</v>
      </c>
      <c r="D479" t="s">
        <v>23</v>
      </c>
      <c r="E479" t="s">
        <v>32</v>
      </c>
      <c r="F479">
        <v>1030</v>
      </c>
      <c r="G479">
        <v>70.81</v>
      </c>
      <c r="H479">
        <v>61.58</v>
      </c>
      <c r="I479">
        <v>105</v>
      </c>
      <c r="J479" t="s">
        <v>28</v>
      </c>
      <c r="K479" s="14">
        <f>COUNTIFS(B:B,"Beta_Supplies",E:E,"Pending") / COUNTIF(B:B,"Beta_Supplies")</f>
        <v>0.12179487179487179</v>
      </c>
      <c r="L479" s="15">
        <v>63427.4</v>
      </c>
      <c r="M479" s="15">
        <v>9506.9</v>
      </c>
      <c r="N479" s="14">
        <f t="shared" si="14"/>
        <v>0.10194174757281553</v>
      </c>
      <c r="O479" s="1">
        <v>0.24</v>
      </c>
      <c r="P479" s="1">
        <f t="shared" si="15"/>
        <v>0.13034882078802434</v>
      </c>
    </row>
    <row r="480" spans="1:16" x14ac:dyDescent="0.45">
      <c r="A480" t="s">
        <v>18</v>
      </c>
      <c r="B480" t="s">
        <v>19</v>
      </c>
      <c r="C480">
        <v>2023</v>
      </c>
      <c r="D480" t="s">
        <v>15</v>
      </c>
      <c r="E480" t="s">
        <v>20</v>
      </c>
      <c r="F480">
        <v>977</v>
      </c>
      <c r="G480">
        <v>33.79</v>
      </c>
      <c r="H480">
        <v>32.25</v>
      </c>
      <c r="I480">
        <v>137</v>
      </c>
      <c r="J480" t="s">
        <v>17</v>
      </c>
      <c r="K480" s="14">
        <f>COUNTIFS(B:B,"Delta_Logistics",E:E,"Delivered") / COUNTIF(B:B,"Delta_Logistics")</f>
        <v>0.70175438596491224</v>
      </c>
      <c r="L480" s="15">
        <v>31508.25</v>
      </c>
      <c r="M480" s="15">
        <v>1504.58</v>
      </c>
      <c r="N480" s="14">
        <f t="shared" si="14"/>
        <v>0.14022517911975435</v>
      </c>
      <c r="O480" s="1">
        <v>0.61</v>
      </c>
      <c r="P480" s="1">
        <f t="shared" si="15"/>
        <v>4.5575614087007964E-2</v>
      </c>
    </row>
    <row r="481" spans="1:16" x14ac:dyDescent="0.45">
      <c r="A481" t="s">
        <v>13</v>
      </c>
      <c r="B481" t="s">
        <v>14</v>
      </c>
      <c r="C481">
        <v>2022</v>
      </c>
      <c r="D481" t="s">
        <v>26</v>
      </c>
      <c r="E481" t="s">
        <v>20</v>
      </c>
      <c r="F481">
        <v>1234</v>
      </c>
      <c r="G481">
        <v>19.989999999999998</v>
      </c>
      <c r="H481">
        <v>17.66</v>
      </c>
      <c r="I481">
        <v>25</v>
      </c>
      <c r="J481" t="s">
        <v>17</v>
      </c>
      <c r="K481" s="14">
        <f>COUNTIFS(B:B,"Alpha_Inc",E:E,"Delivered")/COUNTIF(B:B,"Alpha_Inc")</f>
        <v>0.75886524822695034</v>
      </c>
      <c r="L481" s="15">
        <v>21792.44</v>
      </c>
      <c r="M481" s="15">
        <v>2875.22</v>
      </c>
      <c r="N481" s="14">
        <f t="shared" si="14"/>
        <v>2.0259319286871962E-2</v>
      </c>
      <c r="O481" s="1">
        <v>0.94</v>
      </c>
      <c r="P481" s="1">
        <f t="shared" si="15"/>
        <v>0.1165582791395697</v>
      </c>
    </row>
    <row r="482" spans="1:16" x14ac:dyDescent="0.45">
      <c r="A482" t="s">
        <v>24</v>
      </c>
      <c r="B482" t="s">
        <v>25</v>
      </c>
      <c r="C482">
        <v>2022</v>
      </c>
      <c r="D482" t="s">
        <v>15</v>
      </c>
      <c r="E482" t="s">
        <v>20</v>
      </c>
      <c r="F482">
        <v>1329</v>
      </c>
      <c r="G482">
        <v>33.479999999999997</v>
      </c>
      <c r="H482">
        <v>33.06</v>
      </c>
      <c r="I482">
        <v>146</v>
      </c>
      <c r="J482" t="s">
        <v>17</v>
      </c>
      <c r="K482" s="14">
        <f>COUNTIFS(B:B,"Beta_Supplies",E:E,"Delivered") / COUNTIF(B:B,"Beta_Supplies")</f>
        <v>0.70512820512820518</v>
      </c>
      <c r="L482" s="15">
        <v>43936.74</v>
      </c>
      <c r="M482" s="15">
        <v>558.17999999999995</v>
      </c>
      <c r="N482" s="14">
        <f t="shared" si="14"/>
        <v>0.10985703536493605</v>
      </c>
      <c r="O482" s="1">
        <v>0.76</v>
      </c>
      <c r="P482" s="1">
        <f t="shared" si="15"/>
        <v>1.2544802867383352E-2</v>
      </c>
    </row>
    <row r="483" spans="1:16" x14ac:dyDescent="0.45">
      <c r="A483" t="s">
        <v>21</v>
      </c>
      <c r="B483" t="s">
        <v>22</v>
      </c>
      <c r="C483">
        <v>2022</v>
      </c>
      <c r="D483" t="s">
        <v>27</v>
      </c>
      <c r="E483" t="s">
        <v>20</v>
      </c>
      <c r="F483">
        <v>1396</v>
      </c>
      <c r="G483">
        <v>77.63</v>
      </c>
      <c r="H483">
        <v>67.81</v>
      </c>
      <c r="I483">
        <v>58</v>
      </c>
      <c r="J483" t="s">
        <v>17</v>
      </c>
      <c r="K483" s="14">
        <f>COUNTIFS(B:B,"Gamma_Co",E:E,"Delivered") / COUNTIF(B:B,"Gamma_Co")</f>
        <v>0.72027972027972031</v>
      </c>
      <c r="L483" s="15">
        <v>94662.76</v>
      </c>
      <c r="M483" s="15">
        <v>13708.72</v>
      </c>
      <c r="N483" s="14">
        <f t="shared" si="14"/>
        <v>4.1547277936962751E-2</v>
      </c>
      <c r="O483" s="1">
        <v>0.86</v>
      </c>
      <c r="P483" s="1">
        <f t="shared" si="15"/>
        <v>0.12649748808450334</v>
      </c>
    </row>
    <row r="484" spans="1:16" x14ac:dyDescent="0.45">
      <c r="A484" t="s">
        <v>13</v>
      </c>
      <c r="B484" t="s">
        <v>14</v>
      </c>
      <c r="C484">
        <v>2022</v>
      </c>
      <c r="D484" t="s">
        <v>27</v>
      </c>
      <c r="E484" t="s">
        <v>20</v>
      </c>
      <c r="F484">
        <v>177</v>
      </c>
      <c r="G484">
        <v>90.06</v>
      </c>
      <c r="H484">
        <v>87.71</v>
      </c>
      <c r="I484">
        <v>7</v>
      </c>
      <c r="J484" t="s">
        <v>17</v>
      </c>
      <c r="K484" s="14">
        <f>COUNTIFS(B:B,"Alpha_Inc",E:E,"Delivered")/COUNTIF(B:B,"Alpha_Inc")</f>
        <v>0.75886524822695034</v>
      </c>
      <c r="L484" s="15">
        <v>15524.67</v>
      </c>
      <c r="M484" s="15">
        <v>415.95</v>
      </c>
      <c r="N484" s="14">
        <f t="shared" si="14"/>
        <v>3.954802259887006E-2</v>
      </c>
      <c r="O484" s="1">
        <v>0.94</v>
      </c>
      <c r="P484" s="1">
        <f t="shared" si="15"/>
        <v>2.6093715300910598E-2</v>
      </c>
    </row>
    <row r="485" spans="1:16" x14ac:dyDescent="0.45">
      <c r="A485" t="s">
        <v>18</v>
      </c>
      <c r="B485" t="s">
        <v>19</v>
      </c>
      <c r="C485">
        <v>2022</v>
      </c>
      <c r="D485" t="s">
        <v>33</v>
      </c>
      <c r="E485" t="s">
        <v>20</v>
      </c>
      <c r="F485">
        <v>67</v>
      </c>
      <c r="G485">
        <v>84.72</v>
      </c>
      <c r="H485">
        <v>73.06</v>
      </c>
      <c r="I485">
        <v>9</v>
      </c>
      <c r="J485" t="s">
        <v>17</v>
      </c>
      <c r="K485" s="14">
        <f>COUNTIFS(B:B,"Delta_Logistics",E:E,"Delivered") / COUNTIF(B:B,"Delta_Logistics")</f>
        <v>0.70175438596491224</v>
      </c>
      <c r="L485" s="15">
        <v>4895.0200000000004</v>
      </c>
      <c r="M485" s="15">
        <v>781.22</v>
      </c>
      <c r="N485" s="14">
        <f t="shared" si="14"/>
        <v>0.13432835820895522</v>
      </c>
      <c r="O485" s="1">
        <v>0.61</v>
      </c>
      <c r="P485" s="1">
        <f t="shared" si="15"/>
        <v>0.13762983947119919</v>
      </c>
    </row>
    <row r="486" spans="1:16" x14ac:dyDescent="0.45">
      <c r="A486" t="s">
        <v>21</v>
      </c>
      <c r="B486" t="s">
        <v>22</v>
      </c>
      <c r="C486">
        <v>2023</v>
      </c>
      <c r="D486" t="s">
        <v>15</v>
      </c>
      <c r="E486" t="s">
        <v>20</v>
      </c>
      <c r="F486">
        <v>1866</v>
      </c>
      <c r="G486">
        <v>50.78</v>
      </c>
      <c r="H486">
        <v>48.2</v>
      </c>
      <c r="I486">
        <v>96</v>
      </c>
      <c r="J486" t="s">
        <v>17</v>
      </c>
      <c r="K486" s="14">
        <f>COUNTIFS(B:B,"Gamma_Co",E:E,"Delivered") / COUNTIF(B:B,"Gamma_Co")</f>
        <v>0.72027972027972031</v>
      </c>
      <c r="L486" s="15">
        <v>89941.2</v>
      </c>
      <c r="M486" s="15">
        <v>4814.28</v>
      </c>
      <c r="N486" s="14">
        <f t="shared" si="14"/>
        <v>5.1446945337620578E-2</v>
      </c>
      <c r="O486" s="1">
        <v>0.86</v>
      </c>
      <c r="P486" s="1">
        <f t="shared" si="15"/>
        <v>5.0807404489956638E-2</v>
      </c>
    </row>
    <row r="487" spans="1:16" x14ac:dyDescent="0.45">
      <c r="A487" t="s">
        <v>29</v>
      </c>
      <c r="B487" t="s">
        <v>30</v>
      </c>
      <c r="C487">
        <v>2022</v>
      </c>
      <c r="D487" t="s">
        <v>23</v>
      </c>
      <c r="E487" t="s">
        <v>20</v>
      </c>
      <c r="F487">
        <v>1808</v>
      </c>
      <c r="G487">
        <v>72.23</v>
      </c>
      <c r="H487">
        <v>67.86</v>
      </c>
      <c r="I487">
        <v>53</v>
      </c>
      <c r="J487" t="s">
        <v>17</v>
      </c>
      <c r="K487" s="14">
        <f>COUNTIFS(B:B,"Epsilon_Group",E:E,"Delivered") / COUNTIF(B:B,"Epsilon_Group")</f>
        <v>0.72289156626506024</v>
      </c>
      <c r="L487" s="15">
        <v>122690.88</v>
      </c>
      <c r="M487" s="15">
        <v>7900.96</v>
      </c>
      <c r="N487" s="14">
        <f t="shared" si="14"/>
        <v>2.9314159292035399E-2</v>
      </c>
      <c r="O487" s="1">
        <v>0.98</v>
      </c>
      <c r="P487" s="1">
        <f t="shared" si="15"/>
        <v>6.050117679634507E-2</v>
      </c>
    </row>
    <row r="488" spans="1:16" x14ac:dyDescent="0.45">
      <c r="A488" t="s">
        <v>18</v>
      </c>
      <c r="B488" t="s">
        <v>19</v>
      </c>
      <c r="C488">
        <v>2023</v>
      </c>
      <c r="D488" t="s">
        <v>33</v>
      </c>
      <c r="E488" t="s">
        <v>16</v>
      </c>
      <c r="F488">
        <v>615</v>
      </c>
      <c r="G488">
        <v>30.3</v>
      </c>
      <c r="H488">
        <v>29.52</v>
      </c>
      <c r="I488">
        <v>96</v>
      </c>
      <c r="J488" t="s">
        <v>17</v>
      </c>
      <c r="K488" s="14">
        <f>COUNTIFS(B:B,"Delta_Logistics",E:E,"Cancelled") / COUNTIF(B:B,"Delta_Logistics")</f>
        <v>9.3567251461988299E-2</v>
      </c>
      <c r="L488" s="15">
        <v>18154.8</v>
      </c>
      <c r="M488" s="15">
        <v>479.7</v>
      </c>
      <c r="N488" s="14">
        <f t="shared" si="14"/>
        <v>0.15609756097560976</v>
      </c>
      <c r="O488" s="1">
        <v>0.61</v>
      </c>
      <c r="P488" s="1">
        <f t="shared" si="15"/>
        <v>2.5742574257425779E-2</v>
      </c>
    </row>
    <row r="489" spans="1:16" x14ac:dyDescent="0.45">
      <c r="A489" t="s">
        <v>21</v>
      </c>
      <c r="B489" t="s">
        <v>22</v>
      </c>
      <c r="C489">
        <v>2022</v>
      </c>
      <c r="D489" t="s">
        <v>15</v>
      </c>
      <c r="E489" t="s">
        <v>32</v>
      </c>
      <c r="F489">
        <v>619</v>
      </c>
      <c r="G489">
        <v>38.380000000000003</v>
      </c>
      <c r="H489">
        <v>35.020000000000003</v>
      </c>
      <c r="I489">
        <v>34</v>
      </c>
      <c r="J489" t="s">
        <v>17</v>
      </c>
      <c r="K489" s="14">
        <f>COUNTIFS(B:B,"Gamma_Co",E:E,"Pending") / COUNTIF(B:B,"Gamma_Co")</f>
        <v>0.11188811188811189</v>
      </c>
      <c r="L489" s="15">
        <v>21677.38</v>
      </c>
      <c r="M489" s="15">
        <v>2079.84</v>
      </c>
      <c r="N489" s="14">
        <f t="shared" si="14"/>
        <v>5.492730210016155E-2</v>
      </c>
      <c r="O489" s="1">
        <v>0.86</v>
      </c>
      <c r="P489" s="1">
        <f t="shared" si="15"/>
        <v>8.7545596664929629E-2</v>
      </c>
    </row>
    <row r="490" spans="1:16" x14ac:dyDescent="0.45">
      <c r="A490" t="s">
        <v>18</v>
      </c>
      <c r="B490" t="s">
        <v>19</v>
      </c>
      <c r="C490">
        <v>2022</v>
      </c>
      <c r="D490" t="s">
        <v>15</v>
      </c>
      <c r="E490" t="s">
        <v>20</v>
      </c>
      <c r="F490">
        <v>1396</v>
      </c>
      <c r="G490">
        <v>94.75</v>
      </c>
      <c r="H490">
        <v>84.06</v>
      </c>
      <c r="I490">
        <v>210</v>
      </c>
      <c r="J490" t="s">
        <v>17</v>
      </c>
      <c r="K490" s="14">
        <f>COUNTIFS(B:B,"Delta_Logistics",E:E,"Delivered") / COUNTIF(B:B,"Delta_Logistics")</f>
        <v>0.70175438596491224</v>
      </c>
      <c r="L490" s="15">
        <v>117347.76</v>
      </c>
      <c r="M490" s="15">
        <v>14923.24</v>
      </c>
      <c r="N490" s="14">
        <f t="shared" si="14"/>
        <v>0.1504297994269341</v>
      </c>
      <c r="O490" s="1">
        <v>0.61</v>
      </c>
      <c r="P490" s="1">
        <f t="shared" si="15"/>
        <v>0.11282321899736146</v>
      </c>
    </row>
    <row r="491" spans="1:16" x14ac:dyDescent="0.45">
      <c r="A491" t="s">
        <v>21</v>
      </c>
      <c r="B491" t="s">
        <v>22</v>
      </c>
      <c r="C491">
        <v>2022</v>
      </c>
      <c r="D491" t="s">
        <v>23</v>
      </c>
      <c r="E491" t="s">
        <v>20</v>
      </c>
      <c r="F491">
        <v>1945</v>
      </c>
      <c r="G491">
        <v>11.28</v>
      </c>
      <c r="H491">
        <v>9.98</v>
      </c>
      <c r="I491">
        <v>94</v>
      </c>
      <c r="J491" t="s">
        <v>17</v>
      </c>
      <c r="K491" s="14">
        <f>COUNTIFS(B:B,"Gamma_Co",E:E,"Delivered") / COUNTIF(B:B,"Gamma_Co")</f>
        <v>0.72027972027972031</v>
      </c>
      <c r="L491" s="15">
        <v>19411.099999999999</v>
      </c>
      <c r="M491" s="15">
        <v>2528.5</v>
      </c>
      <c r="N491" s="14">
        <f t="shared" si="14"/>
        <v>4.8329048843187658E-2</v>
      </c>
      <c r="O491" s="1">
        <v>0.86</v>
      </c>
      <c r="P491" s="1">
        <f t="shared" si="15"/>
        <v>0.11524822695035453</v>
      </c>
    </row>
    <row r="492" spans="1:16" x14ac:dyDescent="0.45">
      <c r="A492" t="s">
        <v>18</v>
      </c>
      <c r="B492" t="s">
        <v>19</v>
      </c>
      <c r="C492">
        <v>2022</v>
      </c>
      <c r="D492" t="s">
        <v>26</v>
      </c>
      <c r="E492" t="s">
        <v>20</v>
      </c>
      <c r="F492">
        <v>735</v>
      </c>
      <c r="G492">
        <v>18.489999999999998</v>
      </c>
      <c r="H492">
        <v>15.89</v>
      </c>
      <c r="I492">
        <v>113</v>
      </c>
      <c r="J492" t="s">
        <v>28</v>
      </c>
      <c r="K492" s="14">
        <f>COUNTIFS(B:B,"Delta_Logistics",E:E,"Delivered") / COUNTIF(B:B,"Delta_Logistics")</f>
        <v>0.70175438596491224</v>
      </c>
      <c r="L492" s="15">
        <v>11679.15</v>
      </c>
      <c r="M492" s="15">
        <v>1911</v>
      </c>
      <c r="N492" s="14">
        <f t="shared" si="14"/>
        <v>0.15374149659863945</v>
      </c>
      <c r="O492" s="1">
        <v>0.39</v>
      </c>
      <c r="P492" s="1">
        <f t="shared" si="15"/>
        <v>0.14061654948620866</v>
      </c>
    </row>
    <row r="493" spans="1:16" x14ac:dyDescent="0.45">
      <c r="A493" t="s">
        <v>29</v>
      </c>
      <c r="B493" t="s">
        <v>30</v>
      </c>
      <c r="C493">
        <v>2022</v>
      </c>
      <c r="D493" t="s">
        <v>15</v>
      </c>
      <c r="E493" t="s">
        <v>32</v>
      </c>
      <c r="F493">
        <v>1865</v>
      </c>
      <c r="G493">
        <v>30.29</v>
      </c>
      <c r="H493">
        <v>26.83</v>
      </c>
      <c r="I493">
        <v>56</v>
      </c>
      <c r="J493" t="s">
        <v>17</v>
      </c>
      <c r="K493" s="14">
        <f>COUNTIFS(B:B,"Epsilon_Group",E:E,"Pending") / COUNTIF(B:B,"Epsilon_Group")</f>
        <v>0.10843373493975904</v>
      </c>
      <c r="L493" s="15">
        <v>50037.95</v>
      </c>
      <c r="M493" s="15">
        <v>6452.9</v>
      </c>
      <c r="N493" s="14">
        <f t="shared" si="14"/>
        <v>3.0026809651474532E-2</v>
      </c>
      <c r="O493" s="1">
        <v>0.98</v>
      </c>
      <c r="P493" s="1">
        <f t="shared" si="15"/>
        <v>0.11422911852096404</v>
      </c>
    </row>
    <row r="494" spans="1:16" x14ac:dyDescent="0.45">
      <c r="A494" t="s">
        <v>24</v>
      </c>
      <c r="B494" t="s">
        <v>25</v>
      </c>
      <c r="C494">
        <v>2023</v>
      </c>
      <c r="D494" t="s">
        <v>33</v>
      </c>
      <c r="E494" t="s">
        <v>16</v>
      </c>
      <c r="F494">
        <v>675</v>
      </c>
      <c r="G494">
        <v>13.69</v>
      </c>
      <c r="H494">
        <v>11.84</v>
      </c>
      <c r="I494">
        <v>52</v>
      </c>
      <c r="J494" t="s">
        <v>17</v>
      </c>
      <c r="K494" s="14">
        <f>COUNTIFS(B:B,"Beta_Supplies",E:E,"Cancelled")/COUNTIF(B:B,"Beta_Supplies")</f>
        <v>8.9743589743589744E-2</v>
      </c>
      <c r="L494" s="15">
        <v>7992</v>
      </c>
      <c r="M494" s="15">
        <v>1248.75</v>
      </c>
      <c r="N494" s="14">
        <f t="shared" si="14"/>
        <v>7.7037037037037043E-2</v>
      </c>
      <c r="O494" s="1">
        <v>0.76</v>
      </c>
      <c r="P494" s="1">
        <f t="shared" si="15"/>
        <v>0.13513513513513511</v>
      </c>
    </row>
    <row r="495" spans="1:16" x14ac:dyDescent="0.45">
      <c r="A495" t="s">
        <v>21</v>
      </c>
      <c r="B495" t="s">
        <v>22</v>
      </c>
      <c r="C495">
        <v>2023</v>
      </c>
      <c r="D495" t="s">
        <v>23</v>
      </c>
      <c r="E495" t="s">
        <v>32</v>
      </c>
      <c r="F495">
        <v>1361</v>
      </c>
      <c r="G495">
        <v>28.57</v>
      </c>
      <c r="H495">
        <v>24.29</v>
      </c>
      <c r="I495">
        <v>65</v>
      </c>
      <c r="J495" t="s">
        <v>17</v>
      </c>
      <c r="K495" s="14">
        <f>COUNTIFS(B:B,"Gamma_Co",E:E,"Pending") / COUNTIF(B:B,"Gamma_Co")</f>
        <v>0.11188811188811189</v>
      </c>
      <c r="L495" s="15">
        <v>33058.69</v>
      </c>
      <c r="M495" s="15">
        <v>5825.08</v>
      </c>
      <c r="N495" s="14">
        <f t="shared" si="14"/>
        <v>4.7759000734753858E-2</v>
      </c>
      <c r="O495" s="1">
        <v>0.86</v>
      </c>
      <c r="P495" s="1">
        <f t="shared" si="15"/>
        <v>0.14980749037451876</v>
      </c>
    </row>
    <row r="496" spans="1:16" x14ac:dyDescent="0.45">
      <c r="A496" t="s">
        <v>21</v>
      </c>
      <c r="B496" t="s">
        <v>22</v>
      </c>
      <c r="C496">
        <v>2023</v>
      </c>
      <c r="D496" t="s">
        <v>27</v>
      </c>
      <c r="E496" t="s">
        <v>20</v>
      </c>
      <c r="F496">
        <v>903</v>
      </c>
      <c r="G496">
        <v>66.53</v>
      </c>
      <c r="H496">
        <v>60.15</v>
      </c>
      <c r="I496">
        <v>29</v>
      </c>
      <c r="J496" t="s">
        <v>17</v>
      </c>
      <c r="K496" s="14">
        <f>COUNTIFS(B:B,"Gamma_Co",E:E,"Delivered") / COUNTIF(B:B,"Gamma_Co")</f>
        <v>0.72027972027972031</v>
      </c>
      <c r="L496" s="15">
        <v>54315.45</v>
      </c>
      <c r="M496" s="15">
        <v>5761.14</v>
      </c>
      <c r="N496" s="14">
        <f t="shared" si="14"/>
        <v>3.2115171650055369E-2</v>
      </c>
      <c r="O496" s="1">
        <v>0.86</v>
      </c>
      <c r="P496" s="1">
        <f t="shared" si="15"/>
        <v>9.5896588005411135E-2</v>
      </c>
    </row>
    <row r="497" spans="1:16" x14ac:dyDescent="0.45">
      <c r="A497" t="s">
        <v>29</v>
      </c>
      <c r="B497" t="s">
        <v>30</v>
      </c>
      <c r="C497">
        <v>2023</v>
      </c>
      <c r="D497" t="s">
        <v>26</v>
      </c>
      <c r="E497" t="s">
        <v>16</v>
      </c>
      <c r="F497">
        <v>1736</v>
      </c>
      <c r="G497">
        <v>53.2</v>
      </c>
      <c r="H497">
        <v>50.68</v>
      </c>
      <c r="I497">
        <v>48</v>
      </c>
      <c r="J497" t="s">
        <v>17</v>
      </c>
      <c r="K497" s="14">
        <f>COUNTIFS(B:B,"Epsilon_Group",E:E,"Cancelled") / COUNTIF(B:B,"Epsilon_Group")</f>
        <v>8.4337349397590355E-2</v>
      </c>
      <c r="L497" s="15">
        <v>87980.479999999996</v>
      </c>
      <c r="M497" s="15">
        <v>4374.72</v>
      </c>
      <c r="N497" s="14">
        <f t="shared" si="14"/>
        <v>2.7649769585253458E-2</v>
      </c>
      <c r="O497" s="1">
        <v>0.98</v>
      </c>
      <c r="P497" s="1">
        <f t="shared" si="15"/>
        <v>4.7368421052631636E-2</v>
      </c>
    </row>
    <row r="498" spans="1:16" x14ac:dyDescent="0.45">
      <c r="A498" t="s">
        <v>24</v>
      </c>
      <c r="B498" t="s">
        <v>25</v>
      </c>
      <c r="C498">
        <v>2023</v>
      </c>
      <c r="D498" t="s">
        <v>23</v>
      </c>
      <c r="E498" t="s">
        <v>20</v>
      </c>
      <c r="F498">
        <v>1011</v>
      </c>
      <c r="G498">
        <v>98.47</v>
      </c>
      <c r="H498">
        <v>97.06</v>
      </c>
      <c r="I498">
        <v>91</v>
      </c>
      <c r="J498" t="s">
        <v>17</v>
      </c>
      <c r="K498" s="14">
        <f>COUNTIFS(B:B,"Beta_Supplies",E:E,"Delivered") / COUNTIF(B:B,"Beta_Supplies")</f>
        <v>0.70512820512820518</v>
      </c>
      <c r="L498" s="15">
        <v>98127.66</v>
      </c>
      <c r="M498" s="15">
        <v>1425.51</v>
      </c>
      <c r="N498" s="14">
        <f t="shared" si="14"/>
        <v>9.0009891196834821E-2</v>
      </c>
      <c r="O498" s="1">
        <v>0.76</v>
      </c>
      <c r="P498" s="1">
        <f t="shared" si="15"/>
        <v>1.4319081953894553E-2</v>
      </c>
    </row>
    <row r="499" spans="1:16" x14ac:dyDescent="0.45">
      <c r="A499" t="s">
        <v>18</v>
      </c>
      <c r="B499" t="s">
        <v>19</v>
      </c>
      <c r="C499">
        <v>2022</v>
      </c>
      <c r="D499" t="s">
        <v>33</v>
      </c>
      <c r="E499" t="s">
        <v>20</v>
      </c>
      <c r="F499">
        <v>1712</v>
      </c>
      <c r="G499">
        <v>88.17</v>
      </c>
      <c r="H499">
        <v>85.86</v>
      </c>
      <c r="I499">
        <v>246</v>
      </c>
      <c r="J499" t="s">
        <v>17</v>
      </c>
      <c r="K499" s="14">
        <f>COUNTIFS(B:B,"Delta_Logistics",E:E,"Delivered") / COUNTIF(B:B,"Delta_Logistics")</f>
        <v>0.70175438596491224</v>
      </c>
      <c r="L499" s="15">
        <v>146992.32000000001</v>
      </c>
      <c r="M499" s="15">
        <v>3954.72</v>
      </c>
      <c r="N499" s="14">
        <f t="shared" si="14"/>
        <v>0.14369158878504673</v>
      </c>
      <c r="O499" s="1">
        <v>0.61</v>
      </c>
      <c r="P499" s="1">
        <f t="shared" si="15"/>
        <v>2.6199387546784646E-2</v>
      </c>
    </row>
    <row r="500" spans="1:16" x14ac:dyDescent="0.45">
      <c r="A500" t="s">
        <v>21</v>
      </c>
      <c r="B500" t="s">
        <v>22</v>
      </c>
      <c r="C500">
        <v>2022</v>
      </c>
      <c r="D500" t="s">
        <v>15</v>
      </c>
      <c r="E500" t="s">
        <v>20</v>
      </c>
      <c r="F500">
        <v>204</v>
      </c>
      <c r="G500">
        <v>40.76</v>
      </c>
      <c r="H500">
        <v>37.46</v>
      </c>
      <c r="I500">
        <v>10</v>
      </c>
      <c r="J500" t="s">
        <v>17</v>
      </c>
      <c r="K500" s="14">
        <f>COUNTIFS(B:B,"Gamma_Co",E:E,"Delivered") / COUNTIF(B:B,"Gamma_Co")</f>
        <v>0.72027972027972031</v>
      </c>
      <c r="L500" s="15">
        <v>7641.84</v>
      </c>
      <c r="M500" s="15">
        <v>673.2</v>
      </c>
      <c r="N500" s="14">
        <f t="shared" si="14"/>
        <v>4.9019607843137254E-2</v>
      </c>
      <c r="O500" s="1">
        <v>0.86</v>
      </c>
      <c r="P500" s="1">
        <f t="shared" si="15"/>
        <v>8.0961727183513188E-2</v>
      </c>
    </row>
    <row r="501" spans="1:16" x14ac:dyDescent="0.45">
      <c r="A501" t="s">
        <v>24</v>
      </c>
      <c r="B501" t="s">
        <v>25</v>
      </c>
      <c r="C501">
        <v>2022</v>
      </c>
      <c r="D501" t="s">
        <v>33</v>
      </c>
      <c r="E501" t="s">
        <v>31</v>
      </c>
      <c r="F501">
        <v>539</v>
      </c>
      <c r="G501">
        <v>33.85</v>
      </c>
      <c r="H501">
        <v>30.57</v>
      </c>
      <c r="I501">
        <v>34</v>
      </c>
      <c r="J501" t="s">
        <v>28</v>
      </c>
      <c r="K501" s="14">
        <f>COUNTIFS(B:B,"Beta_Supplies",E:E,"Partially Delivered") / COUNTIF(B:B,"Beta_Supplies")</f>
        <v>8.3333333333333329E-2</v>
      </c>
      <c r="L501" s="15">
        <v>16477.23</v>
      </c>
      <c r="M501" s="15">
        <v>1767.92</v>
      </c>
      <c r="N501" s="14">
        <f t="shared" si="14"/>
        <v>6.3079777365491654E-2</v>
      </c>
      <c r="O501" s="1">
        <v>0.24</v>
      </c>
      <c r="P501" s="1">
        <f t="shared" si="15"/>
        <v>9.6898079763663256E-2</v>
      </c>
    </row>
    <row r="502" spans="1:16" x14ac:dyDescent="0.45">
      <c r="A502" t="s">
        <v>18</v>
      </c>
      <c r="B502" t="s">
        <v>19</v>
      </c>
      <c r="C502">
        <v>2022</v>
      </c>
      <c r="D502" t="s">
        <v>15</v>
      </c>
      <c r="E502" t="s">
        <v>20</v>
      </c>
      <c r="F502">
        <v>1459</v>
      </c>
      <c r="G502">
        <v>45.94</v>
      </c>
      <c r="H502">
        <v>42.56</v>
      </c>
      <c r="I502">
        <v>212</v>
      </c>
      <c r="J502" t="s">
        <v>28</v>
      </c>
      <c r="K502" s="14">
        <f>COUNTIFS(B:B,"Delta_Logistics",E:E,"Delivered") / COUNTIF(B:B,"Delta_Logistics")</f>
        <v>0.70175438596491224</v>
      </c>
      <c r="L502" s="15">
        <v>62095.040000000001</v>
      </c>
      <c r="M502" s="15">
        <v>4931.42</v>
      </c>
      <c r="N502" s="14">
        <f t="shared" si="14"/>
        <v>0.14530500342700481</v>
      </c>
      <c r="O502" s="1">
        <v>0.39</v>
      </c>
      <c r="P502" s="1">
        <f t="shared" si="15"/>
        <v>7.3574227252938523E-2</v>
      </c>
    </row>
    <row r="503" spans="1:16" x14ac:dyDescent="0.45">
      <c r="A503" t="s">
        <v>21</v>
      </c>
      <c r="B503" t="s">
        <v>22</v>
      </c>
      <c r="C503">
        <v>2022</v>
      </c>
      <c r="D503" t="s">
        <v>23</v>
      </c>
      <c r="E503" t="s">
        <v>20</v>
      </c>
      <c r="F503">
        <v>834</v>
      </c>
      <c r="G503">
        <v>65.02</v>
      </c>
      <c r="H503">
        <v>56.19</v>
      </c>
      <c r="I503">
        <v>55</v>
      </c>
      <c r="J503" t="s">
        <v>17</v>
      </c>
      <c r="K503" s="14">
        <f>COUNTIFS(B:B,"Gamma_Co",E:E,"Delivered") / COUNTIF(B:B,"Gamma_Co")</f>
        <v>0.72027972027972031</v>
      </c>
      <c r="L503" s="15">
        <v>46862.46</v>
      </c>
      <c r="M503" s="15">
        <v>7364.22</v>
      </c>
      <c r="N503" s="14">
        <f t="shared" si="14"/>
        <v>6.5947242206235018E-2</v>
      </c>
      <c r="O503" s="1">
        <v>0.86</v>
      </c>
      <c r="P503" s="1">
        <f t="shared" si="15"/>
        <v>0.13580436788680406</v>
      </c>
    </row>
    <row r="504" spans="1:16" x14ac:dyDescent="0.45">
      <c r="A504" t="s">
        <v>21</v>
      </c>
      <c r="B504" t="s">
        <v>22</v>
      </c>
      <c r="C504">
        <v>2023</v>
      </c>
      <c r="D504" t="s">
        <v>26</v>
      </c>
      <c r="E504" t="s">
        <v>31</v>
      </c>
      <c r="F504">
        <v>1177</v>
      </c>
      <c r="G504">
        <v>37.369999999999997</v>
      </c>
      <c r="H504">
        <v>34.270000000000003</v>
      </c>
      <c r="I504">
        <v>60</v>
      </c>
      <c r="J504" t="s">
        <v>17</v>
      </c>
      <c r="K504" s="14">
        <f>COUNTIFS(B:B,"Gamma_Co",E:E,"Partially Delivered") / COUNTIF(B:B,"Gamma_Co")</f>
        <v>0.12587412587412589</v>
      </c>
      <c r="L504" s="15">
        <v>40335.79</v>
      </c>
      <c r="M504" s="15">
        <v>3648.7</v>
      </c>
      <c r="N504" s="14">
        <f t="shared" si="14"/>
        <v>5.0977060322854713E-2</v>
      </c>
      <c r="O504" s="1">
        <v>0.86</v>
      </c>
      <c r="P504" s="1">
        <f t="shared" si="15"/>
        <v>8.295424137008281E-2</v>
      </c>
    </row>
    <row r="505" spans="1:16" x14ac:dyDescent="0.45">
      <c r="A505" t="s">
        <v>18</v>
      </c>
      <c r="B505" t="s">
        <v>19</v>
      </c>
      <c r="C505">
        <v>2022</v>
      </c>
      <c r="D505" t="s">
        <v>23</v>
      </c>
      <c r="E505" t="s">
        <v>20</v>
      </c>
      <c r="F505">
        <v>1466</v>
      </c>
      <c r="G505">
        <v>68.819999999999993</v>
      </c>
      <c r="H505">
        <v>66.819999999999993</v>
      </c>
      <c r="I505">
        <v>211</v>
      </c>
      <c r="J505" t="s">
        <v>17</v>
      </c>
      <c r="K505" s="14">
        <f>COUNTIFS(B:B,"Delta_Logistics",E:E,"Delivered") / COUNTIF(B:B,"Delta_Logistics")</f>
        <v>0.70175438596491224</v>
      </c>
      <c r="L505" s="15">
        <v>97958.12</v>
      </c>
      <c r="M505" s="15">
        <v>2932</v>
      </c>
      <c r="N505" s="14">
        <f t="shared" si="14"/>
        <v>0.14392905866302866</v>
      </c>
      <c r="O505" s="1">
        <v>0.61</v>
      </c>
      <c r="P505" s="1">
        <f t="shared" si="15"/>
        <v>2.9061319383900032E-2</v>
      </c>
    </row>
    <row r="506" spans="1:16" x14ac:dyDescent="0.45">
      <c r="A506" t="s">
        <v>29</v>
      </c>
      <c r="B506" t="s">
        <v>30</v>
      </c>
      <c r="C506">
        <v>2022</v>
      </c>
      <c r="D506" t="s">
        <v>33</v>
      </c>
      <c r="E506" t="s">
        <v>20</v>
      </c>
      <c r="F506">
        <v>1884</v>
      </c>
      <c r="G506">
        <v>47.08</v>
      </c>
      <c r="H506">
        <v>44.31</v>
      </c>
      <c r="I506">
        <v>54</v>
      </c>
      <c r="J506" t="s">
        <v>17</v>
      </c>
      <c r="K506" s="14">
        <f>COUNTIFS(B:B,"Epsilon_Group",E:E,"Delivered") / COUNTIF(B:B,"Epsilon_Group")</f>
        <v>0.72289156626506024</v>
      </c>
      <c r="L506" s="15">
        <v>83480.039999999994</v>
      </c>
      <c r="M506" s="15">
        <v>5218.68</v>
      </c>
      <c r="N506" s="14">
        <f t="shared" si="14"/>
        <v>2.8662420382165606E-2</v>
      </c>
      <c r="O506" s="1">
        <v>0.98</v>
      </c>
      <c r="P506" s="1">
        <f t="shared" si="15"/>
        <v>5.8836023789294735E-2</v>
      </c>
    </row>
    <row r="507" spans="1:16" x14ac:dyDescent="0.45">
      <c r="A507" t="s">
        <v>24</v>
      </c>
      <c r="B507" t="s">
        <v>25</v>
      </c>
      <c r="C507">
        <v>2022</v>
      </c>
      <c r="D507" t="s">
        <v>33</v>
      </c>
      <c r="E507" t="s">
        <v>20</v>
      </c>
      <c r="F507">
        <v>295</v>
      </c>
      <c r="G507">
        <v>60.58</v>
      </c>
      <c r="H507">
        <v>57.32</v>
      </c>
      <c r="I507">
        <v>31</v>
      </c>
      <c r="J507" t="s">
        <v>17</v>
      </c>
      <c r="K507" s="14">
        <f>COUNTIFS(B:B,"Beta_Supplies",E:E,"Delivered") / COUNTIF(B:B,"Beta_Supplies")</f>
        <v>0.70512820512820518</v>
      </c>
      <c r="L507" s="15">
        <v>16909.400000000001</v>
      </c>
      <c r="M507" s="15">
        <v>961.7</v>
      </c>
      <c r="N507" s="14">
        <f t="shared" si="14"/>
        <v>0.10508474576271186</v>
      </c>
      <c r="O507" s="1">
        <v>0.76</v>
      </c>
      <c r="P507" s="1">
        <f t="shared" si="15"/>
        <v>5.3813139650049489E-2</v>
      </c>
    </row>
    <row r="508" spans="1:16" x14ac:dyDescent="0.45">
      <c r="A508" t="s">
        <v>21</v>
      </c>
      <c r="B508" t="s">
        <v>22</v>
      </c>
      <c r="C508">
        <v>2023</v>
      </c>
      <c r="D508" t="s">
        <v>27</v>
      </c>
      <c r="E508" t="s">
        <v>20</v>
      </c>
      <c r="F508">
        <v>1249</v>
      </c>
      <c r="G508">
        <v>54.18</v>
      </c>
      <c r="H508">
        <v>47.29</v>
      </c>
      <c r="I508">
        <v>59</v>
      </c>
      <c r="J508" t="s">
        <v>17</v>
      </c>
      <c r="K508" s="14">
        <f>COUNTIFS(B:B,"Gamma_Co",E:E,"Delivered") / COUNTIF(B:B,"Gamma_Co")</f>
        <v>0.72027972027972031</v>
      </c>
      <c r="L508" s="15">
        <v>59065.21</v>
      </c>
      <c r="M508" s="15">
        <v>8605.61</v>
      </c>
      <c r="N508" s="14">
        <f t="shared" si="14"/>
        <v>4.7237790232185752E-2</v>
      </c>
      <c r="O508" s="1">
        <v>0.86</v>
      </c>
      <c r="P508" s="1">
        <f t="shared" si="15"/>
        <v>0.1271686969361388</v>
      </c>
    </row>
    <row r="509" spans="1:16" x14ac:dyDescent="0.45">
      <c r="A509" t="s">
        <v>18</v>
      </c>
      <c r="B509" t="s">
        <v>19</v>
      </c>
      <c r="C509">
        <v>2023</v>
      </c>
      <c r="D509" t="s">
        <v>27</v>
      </c>
      <c r="E509" t="s">
        <v>20</v>
      </c>
      <c r="F509">
        <v>1112</v>
      </c>
      <c r="G509">
        <v>39.06</v>
      </c>
      <c r="H509">
        <v>33.6</v>
      </c>
      <c r="I509">
        <v>184</v>
      </c>
      <c r="J509" t="s">
        <v>28</v>
      </c>
      <c r="K509" s="14">
        <f>COUNTIFS(B:B,"Delta_Logistics",E:E,"Delivered") / COUNTIF(B:B,"Delta_Logistics")</f>
        <v>0.70175438596491224</v>
      </c>
      <c r="L509" s="15">
        <v>37363.199999999997</v>
      </c>
      <c r="M509" s="15">
        <v>6071.52</v>
      </c>
      <c r="N509" s="14">
        <f t="shared" si="14"/>
        <v>0.16546762589928057</v>
      </c>
      <c r="O509" s="1">
        <v>0.39</v>
      </c>
      <c r="P509" s="1">
        <f t="shared" si="15"/>
        <v>0.13978494623655915</v>
      </c>
    </row>
    <row r="510" spans="1:16" x14ac:dyDescent="0.45">
      <c r="A510" t="s">
        <v>21</v>
      </c>
      <c r="B510" t="s">
        <v>22</v>
      </c>
      <c r="C510">
        <v>2022</v>
      </c>
      <c r="D510" t="s">
        <v>15</v>
      </c>
      <c r="E510" t="s">
        <v>20</v>
      </c>
      <c r="F510">
        <v>1550</v>
      </c>
      <c r="G510">
        <v>100.61</v>
      </c>
      <c r="H510">
        <v>97.43</v>
      </c>
      <c r="I510">
        <v>66</v>
      </c>
      <c r="J510" t="s">
        <v>17</v>
      </c>
      <c r="K510" s="14">
        <f>COUNTIFS(B:B,"Gamma_Co",E:E,"Delivered") / COUNTIF(B:B,"Gamma_Co")</f>
        <v>0.72027972027972031</v>
      </c>
      <c r="L510" s="15">
        <v>151016.5</v>
      </c>
      <c r="M510" s="15">
        <v>4929</v>
      </c>
      <c r="N510" s="14">
        <f t="shared" si="14"/>
        <v>4.2580645161290322E-2</v>
      </c>
      <c r="O510" s="1">
        <v>0.86</v>
      </c>
      <c r="P510" s="1">
        <f t="shared" si="15"/>
        <v>3.160719610376695E-2</v>
      </c>
    </row>
    <row r="511" spans="1:16" x14ac:dyDescent="0.45">
      <c r="A511" t="s">
        <v>18</v>
      </c>
      <c r="B511" t="s">
        <v>19</v>
      </c>
      <c r="C511">
        <v>2022</v>
      </c>
      <c r="D511" t="s">
        <v>33</v>
      </c>
      <c r="E511" t="s">
        <v>20</v>
      </c>
      <c r="F511">
        <v>1755</v>
      </c>
      <c r="G511">
        <v>82.66</v>
      </c>
      <c r="H511">
        <v>73.67</v>
      </c>
      <c r="I511">
        <v>258</v>
      </c>
      <c r="J511" t="s">
        <v>28</v>
      </c>
      <c r="K511" s="14">
        <f>COUNTIFS(B:B,"Delta_Logistics",E:E,"Delivered") / COUNTIF(B:B,"Delta_Logistics")</f>
        <v>0.70175438596491224</v>
      </c>
      <c r="L511" s="15">
        <v>129290.85</v>
      </c>
      <c r="M511" s="15">
        <v>15777.45</v>
      </c>
      <c r="N511" s="14">
        <f t="shared" si="14"/>
        <v>0.14700854700854701</v>
      </c>
      <c r="O511" s="1">
        <v>0.39</v>
      </c>
      <c r="P511" s="1">
        <f t="shared" si="15"/>
        <v>0.10875877086861838</v>
      </c>
    </row>
    <row r="512" spans="1:16" x14ac:dyDescent="0.45">
      <c r="A512" t="s">
        <v>21</v>
      </c>
      <c r="B512" t="s">
        <v>22</v>
      </c>
      <c r="C512">
        <v>2023</v>
      </c>
      <c r="D512" t="s">
        <v>27</v>
      </c>
      <c r="E512" t="s">
        <v>20</v>
      </c>
      <c r="F512">
        <v>808</v>
      </c>
      <c r="G512">
        <v>24.19</v>
      </c>
      <c r="H512">
        <v>21.64</v>
      </c>
      <c r="I512">
        <v>39</v>
      </c>
      <c r="J512" t="s">
        <v>17</v>
      </c>
      <c r="K512" s="14">
        <f>COUNTIFS(B:B,"Gamma_Co",E:E,"Delivered") / COUNTIF(B:B,"Gamma_Co")</f>
        <v>0.72027972027972031</v>
      </c>
      <c r="L512" s="15">
        <v>17485.12</v>
      </c>
      <c r="M512" s="15">
        <v>2060.4</v>
      </c>
      <c r="N512" s="14">
        <f t="shared" si="14"/>
        <v>4.8267326732673269E-2</v>
      </c>
      <c r="O512" s="1">
        <v>0.86</v>
      </c>
      <c r="P512" s="1">
        <f t="shared" si="15"/>
        <v>0.10541546093427039</v>
      </c>
    </row>
    <row r="513" spans="1:16" x14ac:dyDescent="0.45">
      <c r="A513" t="s">
        <v>13</v>
      </c>
      <c r="B513" t="s">
        <v>14</v>
      </c>
      <c r="C513">
        <v>2023</v>
      </c>
      <c r="D513" t="s">
        <v>27</v>
      </c>
      <c r="E513" t="s">
        <v>31</v>
      </c>
      <c r="F513">
        <v>587</v>
      </c>
      <c r="G513">
        <v>96.98</v>
      </c>
      <c r="H513">
        <v>95.35</v>
      </c>
      <c r="I513">
        <v>14</v>
      </c>
      <c r="J513" t="s">
        <v>17</v>
      </c>
      <c r="K513" s="14">
        <f>COUNTIFS(B:B,"Alpha_Inc",E:E,"Partially Delivered")/COUNTIF(B:B,"Alpha_Inc")</f>
        <v>7.0921985815602842E-2</v>
      </c>
      <c r="L513" s="15">
        <v>55970.45</v>
      </c>
      <c r="M513" s="15">
        <v>956.81</v>
      </c>
      <c r="N513" s="14">
        <f t="shared" si="14"/>
        <v>2.385008517887564E-2</v>
      </c>
      <c r="O513" s="1">
        <v>0.94</v>
      </c>
      <c r="P513" s="1">
        <f t="shared" si="15"/>
        <v>1.6807589193648272E-2</v>
      </c>
    </row>
    <row r="514" spans="1:16" x14ac:dyDescent="0.45">
      <c r="A514" t="s">
        <v>29</v>
      </c>
      <c r="B514" t="s">
        <v>30</v>
      </c>
      <c r="C514">
        <v>2023</v>
      </c>
      <c r="D514" t="s">
        <v>23</v>
      </c>
      <c r="E514" t="s">
        <v>20</v>
      </c>
      <c r="F514">
        <v>1940</v>
      </c>
      <c r="G514">
        <v>58.45</v>
      </c>
      <c r="H514">
        <v>50.29</v>
      </c>
      <c r="I514">
        <v>54</v>
      </c>
      <c r="J514" t="s">
        <v>17</v>
      </c>
      <c r="K514" s="14">
        <f>COUNTIFS(B:B,"Epsilon_Group",E:E,"Delivered") / COUNTIF(B:B,"Epsilon_Group")</f>
        <v>0.72289156626506024</v>
      </c>
      <c r="L514" s="15">
        <v>97562.6</v>
      </c>
      <c r="M514" s="15">
        <v>15830.4</v>
      </c>
      <c r="N514" s="14">
        <f t="shared" ref="N514:N577" si="16">I514/F514</f>
        <v>2.7835051546391754E-2</v>
      </c>
      <c r="O514" s="1">
        <v>0.98</v>
      </c>
      <c r="P514" s="1">
        <f t="shared" si="15"/>
        <v>0.13960650128314805</v>
      </c>
    </row>
    <row r="515" spans="1:16" x14ac:dyDescent="0.45">
      <c r="A515" t="s">
        <v>24</v>
      </c>
      <c r="B515" t="s">
        <v>25</v>
      </c>
      <c r="C515">
        <v>2022</v>
      </c>
      <c r="D515" t="s">
        <v>15</v>
      </c>
      <c r="E515" t="s">
        <v>16</v>
      </c>
      <c r="F515">
        <v>1891</v>
      </c>
      <c r="G515">
        <v>91.87</v>
      </c>
      <c r="H515">
        <v>80.28</v>
      </c>
      <c r="I515">
        <v>158</v>
      </c>
      <c r="J515" t="s">
        <v>17</v>
      </c>
      <c r="K515" s="14">
        <f>COUNTIFS(B:B,"Beta_Supplies",E:E,"Cancelled")/COUNTIF(B:B,"Beta_Supplies")</f>
        <v>8.9743589743589744E-2</v>
      </c>
      <c r="L515" s="15">
        <v>151809.48000000001</v>
      </c>
      <c r="M515" s="15">
        <v>21916.69</v>
      </c>
      <c r="N515" s="14">
        <f t="shared" si="16"/>
        <v>8.3553675304071914E-2</v>
      </c>
      <c r="O515" s="1">
        <v>0.76</v>
      </c>
      <c r="P515" s="1">
        <f t="shared" ref="P515:P578" si="17">((G515-H515)/G515)</f>
        <v>0.12615652552519868</v>
      </c>
    </row>
    <row r="516" spans="1:16" x14ac:dyDescent="0.45">
      <c r="A516" t="s">
        <v>29</v>
      </c>
      <c r="B516" t="s">
        <v>30</v>
      </c>
      <c r="C516">
        <v>2023</v>
      </c>
      <c r="D516" t="s">
        <v>26</v>
      </c>
      <c r="E516" t="s">
        <v>20</v>
      </c>
      <c r="F516">
        <v>970</v>
      </c>
      <c r="G516">
        <v>86.91</v>
      </c>
      <c r="H516">
        <v>78.44</v>
      </c>
      <c r="I516">
        <v>18</v>
      </c>
      <c r="J516" t="s">
        <v>17</v>
      </c>
      <c r="K516" s="14">
        <f>COUNTIFS(B:B,"Epsilon_Group",E:E,"Delivered") / COUNTIF(B:B,"Epsilon_Group")</f>
        <v>0.72289156626506024</v>
      </c>
      <c r="L516" s="15">
        <v>76086.8</v>
      </c>
      <c r="M516" s="15">
        <v>8215.9</v>
      </c>
      <c r="N516" s="14">
        <f t="shared" si="16"/>
        <v>1.8556701030927835E-2</v>
      </c>
      <c r="O516" s="1">
        <v>0.98</v>
      </c>
      <c r="P516" s="1">
        <f t="shared" si="17"/>
        <v>9.7457139569669768E-2</v>
      </c>
    </row>
    <row r="517" spans="1:16" x14ac:dyDescent="0.45">
      <c r="A517" t="s">
        <v>29</v>
      </c>
      <c r="B517" t="s">
        <v>30</v>
      </c>
      <c r="C517">
        <v>2023</v>
      </c>
      <c r="D517" t="s">
        <v>23</v>
      </c>
      <c r="E517" t="s">
        <v>20</v>
      </c>
      <c r="F517">
        <v>457</v>
      </c>
      <c r="G517">
        <v>52.85</v>
      </c>
      <c r="H517">
        <v>50.34</v>
      </c>
      <c r="I517">
        <v>16</v>
      </c>
      <c r="J517" t="s">
        <v>17</v>
      </c>
      <c r="K517" s="14">
        <f>COUNTIFS(B:B,"Epsilon_Group",E:E,"Delivered") / COUNTIF(B:B,"Epsilon_Group")</f>
        <v>0.72289156626506024</v>
      </c>
      <c r="L517" s="15">
        <v>23005.38</v>
      </c>
      <c r="M517" s="15">
        <v>1147.07</v>
      </c>
      <c r="N517" s="14">
        <f t="shared" si="16"/>
        <v>3.5010940919037198E-2</v>
      </c>
      <c r="O517" s="1">
        <v>0.98</v>
      </c>
      <c r="P517" s="1">
        <f t="shared" si="17"/>
        <v>4.7492904446546795E-2</v>
      </c>
    </row>
    <row r="518" spans="1:16" x14ac:dyDescent="0.45">
      <c r="A518" t="s">
        <v>24</v>
      </c>
      <c r="B518" t="s">
        <v>25</v>
      </c>
      <c r="C518">
        <v>2022</v>
      </c>
      <c r="D518" t="s">
        <v>15</v>
      </c>
      <c r="E518" t="s">
        <v>16</v>
      </c>
      <c r="F518">
        <v>574</v>
      </c>
      <c r="G518">
        <v>12.38</v>
      </c>
      <c r="H518">
        <v>11.47</v>
      </c>
      <c r="I518">
        <v>105</v>
      </c>
      <c r="J518" t="s">
        <v>28</v>
      </c>
      <c r="K518" s="14">
        <f>COUNTIFS(B:B,"Beta_Supplies",E:E,"Cancelled")/COUNTIF(B:B,"Beta_Supplies")</f>
        <v>8.9743589743589744E-2</v>
      </c>
      <c r="L518" s="15">
        <v>6583.78</v>
      </c>
      <c r="M518" s="15">
        <v>522.34</v>
      </c>
      <c r="N518" s="14">
        <f t="shared" si="16"/>
        <v>0.18292682926829268</v>
      </c>
      <c r="O518" s="1">
        <v>0.24</v>
      </c>
      <c r="P518" s="1">
        <f t="shared" si="17"/>
        <v>7.3505654281098551E-2</v>
      </c>
    </row>
    <row r="519" spans="1:16" x14ac:dyDescent="0.45">
      <c r="A519" t="s">
        <v>29</v>
      </c>
      <c r="B519" t="s">
        <v>30</v>
      </c>
      <c r="C519">
        <v>2022</v>
      </c>
      <c r="D519" t="s">
        <v>15</v>
      </c>
      <c r="E519" t="s">
        <v>20</v>
      </c>
      <c r="F519">
        <v>877</v>
      </c>
      <c r="G519">
        <v>35.549999999999997</v>
      </c>
      <c r="H519">
        <v>34.69</v>
      </c>
      <c r="I519">
        <v>24</v>
      </c>
      <c r="J519" t="s">
        <v>17</v>
      </c>
      <c r="K519" s="14">
        <f>COUNTIFS(B:B,"Epsilon_Group",E:E,"Delivered") / COUNTIF(B:B,"Epsilon_Group")</f>
        <v>0.72289156626506024</v>
      </c>
      <c r="L519" s="15">
        <v>30423.13</v>
      </c>
      <c r="M519" s="15">
        <v>754.22</v>
      </c>
      <c r="N519" s="14">
        <f t="shared" si="16"/>
        <v>2.7366020524515394E-2</v>
      </c>
      <c r="O519" s="1">
        <v>0.98</v>
      </c>
      <c r="P519" s="1">
        <f t="shared" si="17"/>
        <v>2.4191279887482407E-2</v>
      </c>
    </row>
    <row r="520" spans="1:16" x14ac:dyDescent="0.45">
      <c r="A520" t="s">
        <v>13</v>
      </c>
      <c r="B520" t="s">
        <v>14</v>
      </c>
      <c r="C520">
        <v>2022</v>
      </c>
      <c r="D520" t="s">
        <v>23</v>
      </c>
      <c r="E520" t="s">
        <v>20</v>
      </c>
      <c r="F520">
        <v>1579</v>
      </c>
      <c r="G520">
        <v>59.04</v>
      </c>
      <c r="H520">
        <v>50.95</v>
      </c>
      <c r="I520">
        <v>29</v>
      </c>
      <c r="J520" t="s">
        <v>17</v>
      </c>
      <c r="K520" s="14">
        <f>COUNTIFS(B:B,"Alpha_Inc",E:E,"Delivered")/COUNTIF(B:B,"Alpha_Inc")</f>
        <v>0.75886524822695034</v>
      </c>
      <c r="L520" s="15">
        <v>80450.05</v>
      </c>
      <c r="M520" s="15">
        <v>12774.11</v>
      </c>
      <c r="N520" s="14">
        <f t="shared" si="16"/>
        <v>1.8366054464851171E-2</v>
      </c>
      <c r="O520" s="1">
        <v>0.94</v>
      </c>
      <c r="P520" s="1">
        <f t="shared" si="17"/>
        <v>0.13702574525745251</v>
      </c>
    </row>
    <row r="521" spans="1:16" x14ac:dyDescent="0.45">
      <c r="A521" t="s">
        <v>18</v>
      </c>
      <c r="B521" t="s">
        <v>19</v>
      </c>
      <c r="C521">
        <v>2023</v>
      </c>
      <c r="D521" t="s">
        <v>27</v>
      </c>
      <c r="E521" t="s">
        <v>20</v>
      </c>
      <c r="F521">
        <v>952</v>
      </c>
      <c r="G521">
        <v>74.72</v>
      </c>
      <c r="H521">
        <v>69.73</v>
      </c>
      <c r="I521">
        <v>155</v>
      </c>
      <c r="J521" t="s">
        <v>17</v>
      </c>
      <c r="K521" s="14">
        <f>COUNTIFS(B:B,"Delta_Logistics",E:E,"Delivered") / COUNTIF(B:B,"Delta_Logistics")</f>
        <v>0.70175438596491224</v>
      </c>
      <c r="L521" s="15">
        <v>66382.960000000006</v>
      </c>
      <c r="M521" s="15">
        <v>4750.4799999999996</v>
      </c>
      <c r="N521" s="14">
        <f t="shared" si="16"/>
        <v>0.16281512605042017</v>
      </c>
      <c r="O521" s="1">
        <v>0.61</v>
      </c>
      <c r="P521" s="1">
        <f t="shared" si="17"/>
        <v>6.6782655246252612E-2</v>
      </c>
    </row>
    <row r="522" spans="1:16" x14ac:dyDescent="0.45">
      <c r="A522" t="s">
        <v>24</v>
      </c>
      <c r="B522" t="s">
        <v>25</v>
      </c>
      <c r="C522">
        <v>2023</v>
      </c>
      <c r="D522" t="s">
        <v>27</v>
      </c>
      <c r="E522" t="s">
        <v>32</v>
      </c>
      <c r="F522">
        <v>1898</v>
      </c>
      <c r="G522">
        <v>35.53</v>
      </c>
      <c r="H522">
        <v>33.25</v>
      </c>
      <c r="I522">
        <v>187</v>
      </c>
      <c r="J522" t="s">
        <v>17</v>
      </c>
      <c r="K522" s="14">
        <f>COUNTIFS(B:B,"Beta_Supplies",E:E,"Pending") / COUNTIF(B:B,"Beta_Supplies")</f>
        <v>0.12179487179487179</v>
      </c>
      <c r="L522" s="15">
        <v>63108.5</v>
      </c>
      <c r="M522" s="15">
        <v>4327.4399999999996</v>
      </c>
      <c r="N522" s="14">
        <f t="shared" si="16"/>
        <v>9.8524762908324556E-2</v>
      </c>
      <c r="O522" s="1">
        <v>0.76</v>
      </c>
      <c r="P522" s="1">
        <f t="shared" si="17"/>
        <v>6.4171122994652441E-2</v>
      </c>
    </row>
    <row r="523" spans="1:16" x14ac:dyDescent="0.45">
      <c r="A523" t="s">
        <v>18</v>
      </c>
      <c r="B523" t="s">
        <v>19</v>
      </c>
      <c r="C523">
        <v>2022</v>
      </c>
      <c r="D523" t="s">
        <v>26</v>
      </c>
      <c r="E523" t="s">
        <v>20</v>
      </c>
      <c r="F523">
        <v>85</v>
      </c>
      <c r="G523">
        <v>22.54</v>
      </c>
      <c r="H523">
        <v>20.68</v>
      </c>
      <c r="I523">
        <v>6</v>
      </c>
      <c r="J523" t="s">
        <v>17</v>
      </c>
      <c r="K523" s="14">
        <f>COUNTIFS(B:B,"Delta_Logistics",E:E,"Delivered") / COUNTIF(B:B,"Delta_Logistics")</f>
        <v>0.70175438596491224</v>
      </c>
      <c r="L523" s="15">
        <v>1757.8</v>
      </c>
      <c r="M523" s="15">
        <v>158.1</v>
      </c>
      <c r="N523" s="14">
        <f t="shared" si="16"/>
        <v>7.0588235294117646E-2</v>
      </c>
      <c r="O523" s="1">
        <v>0.61</v>
      </c>
      <c r="P523" s="1">
        <f t="shared" si="17"/>
        <v>8.2519964507542121E-2</v>
      </c>
    </row>
    <row r="524" spans="1:16" x14ac:dyDescent="0.45">
      <c r="A524" t="s">
        <v>21</v>
      </c>
      <c r="B524" t="s">
        <v>22</v>
      </c>
      <c r="C524">
        <v>2023</v>
      </c>
      <c r="D524" t="s">
        <v>26</v>
      </c>
      <c r="E524" t="s">
        <v>32</v>
      </c>
      <c r="F524">
        <v>734</v>
      </c>
      <c r="G524">
        <v>92.38</v>
      </c>
      <c r="H524">
        <v>78.92</v>
      </c>
      <c r="I524">
        <v>34</v>
      </c>
      <c r="J524" t="s">
        <v>28</v>
      </c>
      <c r="K524" s="14">
        <f>COUNTIFS(B:B,"Gamma_Co",E:E,"Pending") / COUNTIF(B:B,"Gamma_Co")</f>
        <v>0.11188811188811189</v>
      </c>
      <c r="L524" s="15">
        <v>57927.28</v>
      </c>
      <c r="M524" s="15">
        <v>9879.64</v>
      </c>
      <c r="N524" s="14">
        <f t="shared" si="16"/>
        <v>4.632152588555858E-2</v>
      </c>
      <c r="O524" s="1">
        <v>0.14000000000000001</v>
      </c>
      <c r="P524" s="1">
        <f t="shared" si="17"/>
        <v>0.14570253301580421</v>
      </c>
    </row>
    <row r="525" spans="1:16" x14ac:dyDescent="0.45">
      <c r="A525" t="s">
        <v>13</v>
      </c>
      <c r="B525" t="s">
        <v>14</v>
      </c>
      <c r="C525">
        <v>2023</v>
      </c>
      <c r="D525" t="s">
        <v>15</v>
      </c>
      <c r="E525" t="s">
        <v>20</v>
      </c>
      <c r="F525">
        <v>69</v>
      </c>
      <c r="G525">
        <v>107.47</v>
      </c>
      <c r="H525">
        <v>105.53</v>
      </c>
      <c r="I525">
        <v>24</v>
      </c>
      <c r="J525" t="s">
        <v>17</v>
      </c>
      <c r="K525" s="14">
        <f>COUNTIFS(B:B,"Alpha_Inc",E:E,"Delivered")/COUNTIF(B:B,"Alpha_Inc")</f>
        <v>0.75886524822695034</v>
      </c>
      <c r="L525" s="15">
        <v>7281.57</v>
      </c>
      <c r="M525" s="15">
        <v>133.86000000000001</v>
      </c>
      <c r="N525" s="14">
        <f t="shared" si="16"/>
        <v>0.34782608695652173</v>
      </c>
      <c r="O525" s="1">
        <v>0.94</v>
      </c>
      <c r="P525" s="1">
        <f t="shared" si="17"/>
        <v>1.805154926956358E-2</v>
      </c>
    </row>
    <row r="526" spans="1:16" x14ac:dyDescent="0.45">
      <c r="A526" t="s">
        <v>18</v>
      </c>
      <c r="B526" t="s">
        <v>19</v>
      </c>
      <c r="C526">
        <v>2023</v>
      </c>
      <c r="D526" t="s">
        <v>26</v>
      </c>
      <c r="E526" t="s">
        <v>20</v>
      </c>
      <c r="F526">
        <v>370</v>
      </c>
      <c r="G526">
        <v>63.9</v>
      </c>
      <c r="H526">
        <v>55.79</v>
      </c>
      <c r="I526">
        <v>59</v>
      </c>
      <c r="J526" t="s">
        <v>17</v>
      </c>
      <c r="K526" s="14">
        <f>COUNTIFS(B:B,"Delta_Logistics",E:E,"Delivered") / COUNTIF(B:B,"Delta_Logistics")</f>
        <v>0.70175438596491224</v>
      </c>
      <c r="L526" s="15">
        <v>20642.3</v>
      </c>
      <c r="M526" s="15">
        <v>3000.7</v>
      </c>
      <c r="N526" s="14">
        <f t="shared" si="16"/>
        <v>0.15945945945945947</v>
      </c>
      <c r="O526" s="1">
        <v>0.61</v>
      </c>
      <c r="P526" s="1">
        <f t="shared" si="17"/>
        <v>0.12691705790297339</v>
      </c>
    </row>
    <row r="527" spans="1:16" x14ac:dyDescent="0.45">
      <c r="A527" t="s">
        <v>18</v>
      </c>
      <c r="B527" t="s">
        <v>19</v>
      </c>
      <c r="C527">
        <v>2023</v>
      </c>
      <c r="D527" t="s">
        <v>23</v>
      </c>
      <c r="E527" t="s">
        <v>20</v>
      </c>
      <c r="F527">
        <v>1849</v>
      </c>
      <c r="G527">
        <v>28.25</v>
      </c>
      <c r="H527">
        <v>27.53</v>
      </c>
      <c r="I527">
        <v>271</v>
      </c>
      <c r="J527" t="s">
        <v>17</v>
      </c>
      <c r="K527" s="14">
        <f>COUNTIFS(B:B,"Delta_Logistics",E:E,"Delivered") / COUNTIF(B:B,"Delta_Logistics")</f>
        <v>0.70175438596491224</v>
      </c>
      <c r="L527" s="15">
        <v>50902.97</v>
      </c>
      <c r="M527" s="15">
        <v>1331.28</v>
      </c>
      <c r="N527" s="14">
        <f t="shared" si="16"/>
        <v>0.14656571119524067</v>
      </c>
      <c r="O527" s="1">
        <v>0.61</v>
      </c>
      <c r="P527" s="1">
        <f t="shared" si="17"/>
        <v>2.5486725663716774E-2</v>
      </c>
    </row>
    <row r="528" spans="1:16" x14ac:dyDescent="0.45">
      <c r="A528" t="s">
        <v>24</v>
      </c>
      <c r="B528" t="s">
        <v>25</v>
      </c>
      <c r="C528">
        <v>2022</v>
      </c>
      <c r="D528" t="s">
        <v>26</v>
      </c>
      <c r="E528" t="s">
        <v>20</v>
      </c>
      <c r="F528">
        <v>561</v>
      </c>
      <c r="G528">
        <v>35.54</v>
      </c>
      <c r="H528">
        <v>30.99</v>
      </c>
      <c r="I528">
        <v>68</v>
      </c>
      <c r="J528" t="s">
        <v>28</v>
      </c>
      <c r="K528" s="14">
        <f>COUNTIFS(B:B,"Beta_Supplies",E:E,"Delivered") / COUNTIF(B:B,"Beta_Supplies")</f>
        <v>0.70512820512820518</v>
      </c>
      <c r="L528" s="15">
        <v>17385.39</v>
      </c>
      <c r="M528" s="15">
        <v>2552.5500000000002</v>
      </c>
      <c r="N528" s="14">
        <f t="shared" si="16"/>
        <v>0.12121212121212122</v>
      </c>
      <c r="O528" s="1">
        <v>0.24</v>
      </c>
      <c r="P528" s="1">
        <f t="shared" si="17"/>
        <v>0.1280247608328644</v>
      </c>
    </row>
    <row r="529" spans="1:16" x14ac:dyDescent="0.45">
      <c r="A529" t="s">
        <v>21</v>
      </c>
      <c r="B529" t="s">
        <v>22</v>
      </c>
      <c r="C529">
        <v>2023</v>
      </c>
      <c r="D529" t="s">
        <v>33</v>
      </c>
      <c r="E529" t="s">
        <v>20</v>
      </c>
      <c r="F529">
        <v>449</v>
      </c>
      <c r="G529">
        <v>12.35</v>
      </c>
      <c r="H529">
        <v>10.67</v>
      </c>
      <c r="I529">
        <v>29</v>
      </c>
      <c r="J529" t="s">
        <v>17</v>
      </c>
      <c r="K529" s="14">
        <f>COUNTIFS(B:B,"Gamma_Co",E:E,"Delivered") / COUNTIF(B:B,"Gamma_Co")</f>
        <v>0.72027972027972031</v>
      </c>
      <c r="L529" s="15">
        <v>4790.83</v>
      </c>
      <c r="M529" s="15">
        <v>754.32</v>
      </c>
      <c r="N529" s="14">
        <f t="shared" si="16"/>
        <v>6.4587973273942098E-2</v>
      </c>
      <c r="O529" s="1">
        <v>0.86</v>
      </c>
      <c r="P529" s="1">
        <f t="shared" si="17"/>
        <v>0.13603238866396758</v>
      </c>
    </row>
    <row r="530" spans="1:16" x14ac:dyDescent="0.45">
      <c r="A530" t="s">
        <v>24</v>
      </c>
      <c r="B530" t="s">
        <v>25</v>
      </c>
      <c r="C530">
        <v>2023</v>
      </c>
      <c r="D530" t="s">
        <v>15</v>
      </c>
      <c r="E530" t="s">
        <v>20</v>
      </c>
      <c r="F530">
        <v>703</v>
      </c>
      <c r="G530">
        <v>98.75</v>
      </c>
      <c r="H530">
        <v>86.78</v>
      </c>
      <c r="I530">
        <v>59</v>
      </c>
      <c r="J530" t="s">
        <v>17</v>
      </c>
      <c r="K530" s="14">
        <f>COUNTIFS(B:B,"Beta_Supplies",E:E,"Delivered") / COUNTIF(B:B,"Beta_Supplies")</f>
        <v>0.70512820512820518</v>
      </c>
      <c r="L530" s="15">
        <v>61006.34</v>
      </c>
      <c r="M530" s="15">
        <v>8414.91</v>
      </c>
      <c r="N530" s="14">
        <f t="shared" si="16"/>
        <v>8.392603129445235E-2</v>
      </c>
      <c r="O530" s="1">
        <v>0.76</v>
      </c>
      <c r="P530" s="1">
        <f t="shared" si="17"/>
        <v>0.12121518987341771</v>
      </c>
    </row>
    <row r="531" spans="1:16" x14ac:dyDescent="0.45">
      <c r="A531" t="s">
        <v>21</v>
      </c>
      <c r="B531" t="s">
        <v>22</v>
      </c>
      <c r="C531">
        <v>2022</v>
      </c>
      <c r="D531" t="s">
        <v>33</v>
      </c>
      <c r="E531" t="s">
        <v>20</v>
      </c>
      <c r="F531">
        <v>1021</v>
      </c>
      <c r="G531">
        <v>20.8</v>
      </c>
      <c r="H531">
        <v>18.23</v>
      </c>
      <c r="I531">
        <v>37</v>
      </c>
      <c r="J531" t="s">
        <v>17</v>
      </c>
      <c r="K531" s="14">
        <f>COUNTIFS(B:B,"Gamma_Co",E:E,"Delivered") / COUNTIF(B:B,"Gamma_Co")</f>
        <v>0.72027972027972031</v>
      </c>
      <c r="L531" s="15">
        <v>18612.830000000002</v>
      </c>
      <c r="M531" s="15">
        <v>2623.97</v>
      </c>
      <c r="N531" s="14">
        <f t="shared" si="16"/>
        <v>3.6238981390793339E-2</v>
      </c>
      <c r="O531" s="1">
        <v>0.86</v>
      </c>
      <c r="P531" s="1">
        <f t="shared" si="17"/>
        <v>0.12355769230769231</v>
      </c>
    </row>
    <row r="532" spans="1:16" x14ac:dyDescent="0.45">
      <c r="A532" t="s">
        <v>24</v>
      </c>
      <c r="B532" t="s">
        <v>25</v>
      </c>
      <c r="C532">
        <v>2023</v>
      </c>
      <c r="D532" t="s">
        <v>15</v>
      </c>
      <c r="E532" t="s">
        <v>20</v>
      </c>
      <c r="F532">
        <v>1956</v>
      </c>
      <c r="G532">
        <v>68.69</v>
      </c>
      <c r="H532">
        <v>65.09</v>
      </c>
      <c r="I532">
        <v>105</v>
      </c>
      <c r="J532" t="s">
        <v>17</v>
      </c>
      <c r="K532" s="14">
        <f>COUNTIFS(B:B,"Beta_Supplies",E:E,"Delivered") / COUNTIF(B:B,"Beta_Supplies")</f>
        <v>0.70512820512820518</v>
      </c>
      <c r="L532" s="15">
        <v>127316.04</v>
      </c>
      <c r="M532" s="15">
        <v>7041.6</v>
      </c>
      <c r="N532" s="14">
        <f t="shared" si="16"/>
        <v>5.3680981595092027E-2</v>
      </c>
      <c r="O532" s="1">
        <v>0.76</v>
      </c>
      <c r="P532" s="1">
        <f t="shared" si="17"/>
        <v>5.2409375454942411E-2</v>
      </c>
    </row>
    <row r="533" spans="1:16" x14ac:dyDescent="0.45">
      <c r="A533" t="s">
        <v>18</v>
      </c>
      <c r="B533" t="s">
        <v>19</v>
      </c>
      <c r="C533">
        <v>2022</v>
      </c>
      <c r="D533" t="s">
        <v>15</v>
      </c>
      <c r="E533" t="s">
        <v>31</v>
      </c>
      <c r="F533">
        <v>520</v>
      </c>
      <c r="G533">
        <v>36.57</v>
      </c>
      <c r="H533">
        <v>34.78</v>
      </c>
      <c r="I533">
        <v>67</v>
      </c>
      <c r="J533" t="s">
        <v>28</v>
      </c>
      <c r="K533" s="14">
        <f>COUNTIFS(B:B,"Delta_Logistics",E:E,"Partially Delivered") / COUNTIF(B:B,"Delta_Logistics")</f>
        <v>0.10526315789473684</v>
      </c>
      <c r="L533" s="15">
        <v>18085.599999999999</v>
      </c>
      <c r="M533" s="15">
        <v>930.8</v>
      </c>
      <c r="N533" s="14">
        <f t="shared" si="16"/>
        <v>0.12884615384615383</v>
      </c>
      <c r="O533" s="1">
        <v>0.39</v>
      </c>
      <c r="P533" s="1">
        <f t="shared" si="17"/>
        <v>4.8947224500957044E-2</v>
      </c>
    </row>
    <row r="534" spans="1:16" x14ac:dyDescent="0.45">
      <c r="A534" t="s">
        <v>18</v>
      </c>
      <c r="B534" t="s">
        <v>19</v>
      </c>
      <c r="C534">
        <v>2023</v>
      </c>
      <c r="D534" t="s">
        <v>23</v>
      </c>
      <c r="E534" t="s">
        <v>20</v>
      </c>
      <c r="F534">
        <v>1216</v>
      </c>
      <c r="G534">
        <v>66.16</v>
      </c>
      <c r="H534">
        <v>63</v>
      </c>
      <c r="I534">
        <v>179</v>
      </c>
      <c r="J534" t="s">
        <v>28</v>
      </c>
      <c r="K534" s="14">
        <f>COUNTIFS(B:B,"Delta_Logistics",E:E,"Delivered") / COUNTIF(B:B,"Delta_Logistics")</f>
        <v>0.70175438596491224</v>
      </c>
      <c r="L534" s="15">
        <v>76608</v>
      </c>
      <c r="M534" s="15">
        <v>3842.56</v>
      </c>
      <c r="N534" s="14">
        <f t="shared" si="16"/>
        <v>0.14720394736842105</v>
      </c>
      <c r="O534" s="1">
        <v>0.39</v>
      </c>
      <c r="P534" s="1">
        <f t="shared" si="17"/>
        <v>4.7762998790810106E-2</v>
      </c>
    </row>
    <row r="535" spans="1:16" x14ac:dyDescent="0.45">
      <c r="A535" t="s">
        <v>13</v>
      </c>
      <c r="B535" t="s">
        <v>14</v>
      </c>
      <c r="C535">
        <v>2022</v>
      </c>
      <c r="D535" t="s">
        <v>27</v>
      </c>
      <c r="E535" t="s">
        <v>20</v>
      </c>
      <c r="F535">
        <v>1165</v>
      </c>
      <c r="G535">
        <v>72.06</v>
      </c>
      <c r="H535">
        <v>63.93</v>
      </c>
      <c r="I535">
        <v>24</v>
      </c>
      <c r="J535" t="s">
        <v>17</v>
      </c>
      <c r="K535" s="14">
        <f>COUNTIFS(B:B,"Alpha_Inc",E:E,"Delivered")/COUNTIF(B:B,"Alpha_Inc")</f>
        <v>0.75886524822695034</v>
      </c>
      <c r="L535" s="15">
        <v>74478.45</v>
      </c>
      <c r="M535" s="15">
        <v>9471.4500000000007</v>
      </c>
      <c r="N535" s="14">
        <f t="shared" si="16"/>
        <v>2.0600858369098713E-2</v>
      </c>
      <c r="O535" s="1">
        <v>0.94</v>
      </c>
      <c r="P535" s="1">
        <f t="shared" si="17"/>
        <v>0.11282264779350544</v>
      </c>
    </row>
    <row r="536" spans="1:16" x14ac:dyDescent="0.45">
      <c r="A536" t="s">
        <v>18</v>
      </c>
      <c r="B536" t="s">
        <v>19</v>
      </c>
      <c r="C536">
        <v>2023</v>
      </c>
      <c r="D536" t="s">
        <v>26</v>
      </c>
      <c r="E536" t="s">
        <v>32</v>
      </c>
      <c r="F536">
        <v>1427</v>
      </c>
      <c r="G536">
        <v>93.99</v>
      </c>
      <c r="H536">
        <v>83.6</v>
      </c>
      <c r="I536">
        <v>213</v>
      </c>
      <c r="J536" t="s">
        <v>17</v>
      </c>
      <c r="K536" s="14">
        <f>COUNTIFS(B:B,"Delta_Logistics",E:E,"Pending") / COUNTIF(B:B,"Delta_Logistics")</f>
        <v>9.9415204678362568E-2</v>
      </c>
      <c r="L536" s="15">
        <v>119297.2</v>
      </c>
      <c r="M536" s="15">
        <v>14826.53</v>
      </c>
      <c r="N536" s="14">
        <f t="shared" si="16"/>
        <v>0.14926419060967064</v>
      </c>
      <c r="O536" s="1">
        <v>0.61</v>
      </c>
      <c r="P536" s="1">
        <f t="shared" si="17"/>
        <v>0.11054367485902757</v>
      </c>
    </row>
    <row r="537" spans="1:16" x14ac:dyDescent="0.45">
      <c r="A537" t="s">
        <v>29</v>
      </c>
      <c r="B537" t="s">
        <v>30</v>
      </c>
      <c r="C537">
        <v>2022</v>
      </c>
      <c r="D537" t="s">
        <v>33</v>
      </c>
      <c r="E537" t="s">
        <v>20</v>
      </c>
      <c r="F537">
        <v>883</v>
      </c>
      <c r="G537">
        <v>29.15</v>
      </c>
      <c r="H537">
        <v>25.75</v>
      </c>
      <c r="I537">
        <v>14</v>
      </c>
      <c r="J537" t="s">
        <v>17</v>
      </c>
      <c r="K537" s="14">
        <f>COUNTIFS(B:B,"Epsilon_Group",E:E,"Delivered") / COUNTIF(B:B,"Epsilon_Group")</f>
        <v>0.72289156626506024</v>
      </c>
      <c r="L537" s="15">
        <v>22737.25</v>
      </c>
      <c r="M537" s="15">
        <v>3002.2</v>
      </c>
      <c r="N537" s="14">
        <f t="shared" si="16"/>
        <v>1.5855039637599093E-2</v>
      </c>
      <c r="O537" s="1">
        <v>0.98</v>
      </c>
      <c r="P537" s="1">
        <f t="shared" si="17"/>
        <v>0.1166380789022298</v>
      </c>
    </row>
    <row r="538" spans="1:16" x14ac:dyDescent="0.45">
      <c r="A538" t="s">
        <v>18</v>
      </c>
      <c r="B538" t="s">
        <v>19</v>
      </c>
      <c r="C538">
        <v>2022</v>
      </c>
      <c r="D538" t="s">
        <v>26</v>
      </c>
      <c r="E538" t="s">
        <v>31</v>
      </c>
      <c r="F538">
        <v>1873</v>
      </c>
      <c r="G538">
        <v>11.54</v>
      </c>
      <c r="H538">
        <v>9.89</v>
      </c>
      <c r="I538">
        <v>284</v>
      </c>
      <c r="J538" t="s">
        <v>28</v>
      </c>
      <c r="K538" s="14">
        <f>COUNTIFS(B:B,"Delta_Logistics",E:E,"Partially Delivered") / COUNTIF(B:B,"Delta_Logistics")</f>
        <v>0.10526315789473684</v>
      </c>
      <c r="L538" s="15">
        <v>18523.97</v>
      </c>
      <c r="M538" s="15">
        <v>3090.45</v>
      </c>
      <c r="N538" s="14">
        <f t="shared" si="16"/>
        <v>0.15162840363053925</v>
      </c>
      <c r="O538" s="1">
        <v>0.39</v>
      </c>
      <c r="P538" s="1">
        <f t="shared" si="17"/>
        <v>0.14298093587521651</v>
      </c>
    </row>
    <row r="539" spans="1:16" x14ac:dyDescent="0.45">
      <c r="A539" t="s">
        <v>29</v>
      </c>
      <c r="B539" t="s">
        <v>30</v>
      </c>
      <c r="C539">
        <v>2023</v>
      </c>
      <c r="D539" t="s">
        <v>15</v>
      </c>
      <c r="E539" t="s">
        <v>20</v>
      </c>
      <c r="F539">
        <v>776</v>
      </c>
      <c r="G539">
        <v>24.22</v>
      </c>
      <c r="H539">
        <v>22.53</v>
      </c>
      <c r="I539">
        <v>27</v>
      </c>
      <c r="J539" t="s">
        <v>17</v>
      </c>
      <c r="K539" s="14">
        <f>COUNTIFS(B:B,"Epsilon_Group",E:E,"Delivered") / COUNTIF(B:B,"Epsilon_Group")</f>
        <v>0.72289156626506024</v>
      </c>
      <c r="L539" s="15">
        <v>17483.28</v>
      </c>
      <c r="M539" s="15">
        <v>1311.44</v>
      </c>
      <c r="N539" s="14">
        <f t="shared" si="16"/>
        <v>3.4793814432989692E-2</v>
      </c>
      <c r="O539" s="1">
        <v>0.98</v>
      </c>
      <c r="P539" s="1">
        <f t="shared" si="17"/>
        <v>6.9777043765482979E-2</v>
      </c>
    </row>
    <row r="540" spans="1:16" x14ac:dyDescent="0.45">
      <c r="A540" t="s">
        <v>18</v>
      </c>
      <c r="B540" t="s">
        <v>19</v>
      </c>
      <c r="C540">
        <v>2022</v>
      </c>
      <c r="D540" t="s">
        <v>33</v>
      </c>
      <c r="E540" t="s">
        <v>20</v>
      </c>
      <c r="F540">
        <v>903</v>
      </c>
      <c r="G540">
        <v>95.55</v>
      </c>
      <c r="H540">
        <v>92.45</v>
      </c>
      <c r="I540">
        <v>149</v>
      </c>
      <c r="J540" t="s">
        <v>28</v>
      </c>
      <c r="K540" s="14">
        <f>COUNTIFS(B:B,"Delta_Logistics",E:E,"Delivered") / COUNTIF(B:B,"Delta_Logistics")</f>
        <v>0.70175438596491224</v>
      </c>
      <c r="L540" s="15">
        <v>83482.350000000006</v>
      </c>
      <c r="M540" s="15">
        <v>2799.3</v>
      </c>
      <c r="N540" s="14">
        <f t="shared" si="16"/>
        <v>0.16500553709856036</v>
      </c>
      <c r="O540" s="1">
        <v>0.39</v>
      </c>
      <c r="P540" s="1">
        <f t="shared" si="17"/>
        <v>3.2443746729460959E-2</v>
      </c>
    </row>
    <row r="541" spans="1:16" x14ac:dyDescent="0.45">
      <c r="A541" t="s">
        <v>29</v>
      </c>
      <c r="B541" t="s">
        <v>30</v>
      </c>
      <c r="C541">
        <v>2023</v>
      </c>
      <c r="D541" t="s">
        <v>33</v>
      </c>
      <c r="E541" t="s">
        <v>20</v>
      </c>
      <c r="F541">
        <v>100</v>
      </c>
      <c r="G541">
        <v>98.4</v>
      </c>
      <c r="H541">
        <v>85.76</v>
      </c>
      <c r="I541">
        <v>3</v>
      </c>
      <c r="J541" t="s">
        <v>17</v>
      </c>
      <c r="K541" s="14">
        <f>COUNTIFS(B:B,"Epsilon_Group",E:E,"Delivered") / COUNTIF(B:B,"Epsilon_Group")</f>
        <v>0.72289156626506024</v>
      </c>
      <c r="L541" s="15">
        <v>8576</v>
      </c>
      <c r="M541" s="15">
        <v>1264</v>
      </c>
      <c r="N541" s="14">
        <f t="shared" si="16"/>
        <v>0.03</v>
      </c>
      <c r="O541" s="1">
        <v>0.98</v>
      </c>
      <c r="P541" s="1">
        <f t="shared" si="17"/>
        <v>0.12845528455284552</v>
      </c>
    </row>
    <row r="542" spans="1:16" x14ac:dyDescent="0.45">
      <c r="A542" t="s">
        <v>29</v>
      </c>
      <c r="B542" t="s">
        <v>30</v>
      </c>
      <c r="C542">
        <v>2023</v>
      </c>
      <c r="D542" t="s">
        <v>15</v>
      </c>
      <c r="E542" t="s">
        <v>20</v>
      </c>
      <c r="F542">
        <v>1738</v>
      </c>
      <c r="G542">
        <v>67.91</v>
      </c>
      <c r="H542">
        <v>61.15</v>
      </c>
      <c r="I542">
        <v>33</v>
      </c>
      <c r="J542" t="s">
        <v>17</v>
      </c>
      <c r="K542" s="14">
        <f>COUNTIFS(B:B,"Epsilon_Group",E:E,"Delivered") / COUNTIF(B:B,"Epsilon_Group")</f>
        <v>0.72289156626506024</v>
      </c>
      <c r="L542" s="15">
        <v>106278.7</v>
      </c>
      <c r="M542" s="15">
        <v>11748.88</v>
      </c>
      <c r="N542" s="14">
        <f t="shared" si="16"/>
        <v>1.8987341772151899E-2</v>
      </c>
      <c r="O542" s="1">
        <v>0.98</v>
      </c>
      <c r="P542" s="1">
        <f t="shared" si="17"/>
        <v>9.9543513473715192E-2</v>
      </c>
    </row>
    <row r="543" spans="1:16" x14ac:dyDescent="0.45">
      <c r="A543" t="s">
        <v>18</v>
      </c>
      <c r="B543" t="s">
        <v>19</v>
      </c>
      <c r="C543">
        <v>2022</v>
      </c>
      <c r="D543" t="s">
        <v>26</v>
      </c>
      <c r="E543" t="s">
        <v>20</v>
      </c>
      <c r="F543">
        <v>1771</v>
      </c>
      <c r="G543">
        <v>67.569999999999993</v>
      </c>
      <c r="H543">
        <v>61.48</v>
      </c>
      <c r="I543">
        <v>280</v>
      </c>
      <c r="J543" t="s">
        <v>28</v>
      </c>
      <c r="K543" s="14">
        <f>COUNTIFS(B:B,"Delta_Logistics",E:E,"Delivered") / COUNTIF(B:B,"Delta_Logistics")</f>
        <v>0.70175438596491224</v>
      </c>
      <c r="L543" s="15">
        <v>108881.08</v>
      </c>
      <c r="M543" s="15">
        <v>10785.39</v>
      </c>
      <c r="N543" s="14">
        <f t="shared" si="16"/>
        <v>0.15810276679841898</v>
      </c>
      <c r="O543" s="1">
        <v>0.39</v>
      </c>
      <c r="P543" s="1">
        <f t="shared" si="17"/>
        <v>9.0128755364806815E-2</v>
      </c>
    </row>
    <row r="544" spans="1:16" x14ac:dyDescent="0.45">
      <c r="A544" t="s">
        <v>29</v>
      </c>
      <c r="B544" t="s">
        <v>30</v>
      </c>
      <c r="C544">
        <v>2023</v>
      </c>
      <c r="D544" t="s">
        <v>33</v>
      </c>
      <c r="E544" t="s">
        <v>20</v>
      </c>
      <c r="F544">
        <v>624</v>
      </c>
      <c r="G544">
        <v>74.39</v>
      </c>
      <c r="H544">
        <v>66.3</v>
      </c>
      <c r="I544">
        <v>18</v>
      </c>
      <c r="J544" t="s">
        <v>28</v>
      </c>
      <c r="K544" s="14">
        <f>COUNTIFS(B:B,"Epsilon_Group",E:E,"Delivered") / COUNTIF(B:B,"Epsilon_Group")</f>
        <v>0.72289156626506024</v>
      </c>
      <c r="L544" s="15">
        <v>41371.199999999997</v>
      </c>
      <c r="M544" s="15">
        <v>5048.16</v>
      </c>
      <c r="N544" s="14">
        <f t="shared" si="16"/>
        <v>2.8846153846153848E-2</v>
      </c>
      <c r="O544" s="1">
        <v>0.02</v>
      </c>
      <c r="P544" s="1">
        <f t="shared" si="17"/>
        <v>0.10875117623336475</v>
      </c>
    </row>
    <row r="545" spans="1:16" x14ac:dyDescent="0.45">
      <c r="A545" t="s">
        <v>13</v>
      </c>
      <c r="B545" t="s">
        <v>14</v>
      </c>
      <c r="C545">
        <v>2023</v>
      </c>
      <c r="D545" t="s">
        <v>26</v>
      </c>
      <c r="E545" t="s">
        <v>31</v>
      </c>
      <c r="F545">
        <v>1263</v>
      </c>
      <c r="G545">
        <v>28.75</v>
      </c>
      <c r="H545">
        <v>27.1</v>
      </c>
      <c r="I545">
        <v>26</v>
      </c>
      <c r="J545" t="s">
        <v>17</v>
      </c>
      <c r="K545" s="14">
        <f>COUNTIFS(B:B,"Alpha_Inc",E:E,"Partially Delivered")/COUNTIF(B:B,"Alpha_Inc")</f>
        <v>7.0921985815602842E-2</v>
      </c>
      <c r="L545" s="15">
        <v>34227.300000000003</v>
      </c>
      <c r="M545" s="15">
        <v>2083.9499999999998</v>
      </c>
      <c r="N545" s="14">
        <f t="shared" si="16"/>
        <v>2.0585906571654791E-2</v>
      </c>
      <c r="O545" s="1">
        <v>0.94</v>
      </c>
      <c r="P545" s="1">
        <f t="shared" si="17"/>
        <v>5.7391304347826036E-2</v>
      </c>
    </row>
    <row r="546" spans="1:16" x14ac:dyDescent="0.45">
      <c r="A546" t="s">
        <v>21</v>
      </c>
      <c r="B546" t="s">
        <v>22</v>
      </c>
      <c r="C546">
        <v>2022</v>
      </c>
      <c r="D546" t="s">
        <v>33</v>
      </c>
      <c r="E546" t="s">
        <v>16</v>
      </c>
      <c r="F546">
        <v>1198</v>
      </c>
      <c r="G546">
        <v>96.45</v>
      </c>
      <c r="H546">
        <v>90.09</v>
      </c>
      <c r="I546">
        <v>55</v>
      </c>
      <c r="J546" t="s">
        <v>17</v>
      </c>
      <c r="K546" s="14">
        <f>COUNTIFS(B:B,"Gamma_Co",E:E,"Cancelled") / COUNTIF(B:B,"Gamma_Co")</f>
        <v>4.195804195804196E-2</v>
      </c>
      <c r="L546" s="15">
        <v>107927.82</v>
      </c>
      <c r="M546" s="15">
        <v>7619.28</v>
      </c>
      <c r="N546" s="14">
        <f t="shared" si="16"/>
        <v>4.5909849749582635E-2</v>
      </c>
      <c r="O546" s="1">
        <v>0.86</v>
      </c>
      <c r="P546" s="1">
        <f t="shared" si="17"/>
        <v>6.5940902021772926E-2</v>
      </c>
    </row>
    <row r="547" spans="1:16" x14ac:dyDescent="0.45">
      <c r="A547" t="s">
        <v>29</v>
      </c>
      <c r="B547" t="s">
        <v>30</v>
      </c>
      <c r="C547">
        <v>2023</v>
      </c>
      <c r="D547" t="s">
        <v>27</v>
      </c>
      <c r="E547" t="s">
        <v>20</v>
      </c>
      <c r="F547">
        <v>199</v>
      </c>
      <c r="G547">
        <v>51.98</v>
      </c>
      <c r="H547">
        <v>45.64</v>
      </c>
      <c r="I547">
        <v>33</v>
      </c>
      <c r="J547" t="s">
        <v>28</v>
      </c>
      <c r="K547" s="14">
        <f>COUNTIFS(B:B,"Epsilon_Group",E:E,"Delivered") / COUNTIF(B:B,"Epsilon_Group")</f>
        <v>0.72289156626506024</v>
      </c>
      <c r="L547" s="15">
        <v>9082.36</v>
      </c>
      <c r="M547" s="15">
        <v>1261.6600000000001</v>
      </c>
      <c r="N547" s="14">
        <f t="shared" si="16"/>
        <v>0.16582914572864321</v>
      </c>
      <c r="O547" s="1">
        <v>0.02</v>
      </c>
      <c r="P547" s="1">
        <f t="shared" si="17"/>
        <v>0.12196998845709882</v>
      </c>
    </row>
    <row r="548" spans="1:16" x14ac:dyDescent="0.45">
      <c r="A548" t="s">
        <v>29</v>
      </c>
      <c r="B548" t="s">
        <v>30</v>
      </c>
      <c r="C548">
        <v>2022</v>
      </c>
      <c r="D548" t="s">
        <v>23</v>
      </c>
      <c r="E548" t="s">
        <v>32</v>
      </c>
      <c r="F548">
        <v>363</v>
      </c>
      <c r="G548">
        <v>45.37</v>
      </c>
      <c r="H548">
        <v>38.729999999999997</v>
      </c>
      <c r="I548">
        <v>33</v>
      </c>
      <c r="J548" t="s">
        <v>17</v>
      </c>
      <c r="K548" s="14">
        <f>COUNTIFS(B:B,"Epsilon_Group",E:E,"Pending") / COUNTIF(B:B,"Epsilon_Group")</f>
        <v>0.10843373493975904</v>
      </c>
      <c r="L548" s="15">
        <v>14058.99</v>
      </c>
      <c r="M548" s="15">
        <v>2410.3200000000002</v>
      </c>
      <c r="N548" s="14">
        <f t="shared" si="16"/>
        <v>9.0909090909090912E-2</v>
      </c>
      <c r="O548" s="1">
        <v>0.98</v>
      </c>
      <c r="P548" s="1">
        <f t="shared" si="17"/>
        <v>0.14635221512012345</v>
      </c>
    </row>
    <row r="549" spans="1:16" x14ac:dyDescent="0.45">
      <c r="A549" t="s">
        <v>13</v>
      </c>
      <c r="B549" t="s">
        <v>14</v>
      </c>
      <c r="C549">
        <v>2022</v>
      </c>
      <c r="D549" t="s">
        <v>15</v>
      </c>
      <c r="E549" t="s">
        <v>20</v>
      </c>
      <c r="F549">
        <v>619</v>
      </c>
      <c r="G549">
        <v>58.4</v>
      </c>
      <c r="H549">
        <v>51.04</v>
      </c>
      <c r="I549">
        <v>24</v>
      </c>
      <c r="J549" t="s">
        <v>17</v>
      </c>
      <c r="K549" s="14">
        <f>COUNTIFS(B:B,"Alpha_Inc",E:E,"Delivered")/COUNTIF(B:B,"Alpha_Inc")</f>
        <v>0.75886524822695034</v>
      </c>
      <c r="L549" s="15">
        <v>31593.759999999998</v>
      </c>
      <c r="M549" s="15">
        <v>4555.84</v>
      </c>
      <c r="N549" s="14">
        <f t="shared" si="16"/>
        <v>3.8772213247172858E-2</v>
      </c>
      <c r="O549" s="1">
        <v>0.94</v>
      </c>
      <c r="P549" s="1">
        <f t="shared" si="17"/>
        <v>0.12602739726027395</v>
      </c>
    </row>
    <row r="550" spans="1:16" x14ac:dyDescent="0.45">
      <c r="A550" t="s">
        <v>13</v>
      </c>
      <c r="B550" t="s">
        <v>14</v>
      </c>
      <c r="C550">
        <v>2023</v>
      </c>
      <c r="D550" t="s">
        <v>23</v>
      </c>
      <c r="E550" t="s">
        <v>20</v>
      </c>
      <c r="F550">
        <v>1415</v>
      </c>
      <c r="G550">
        <v>15.22</v>
      </c>
      <c r="H550">
        <v>13.56</v>
      </c>
      <c r="I550">
        <v>30</v>
      </c>
      <c r="J550" t="s">
        <v>17</v>
      </c>
      <c r="K550" s="14">
        <f>COUNTIFS(B:B,"Alpha_Inc",E:E,"Delivered")/COUNTIF(B:B,"Alpha_Inc")</f>
        <v>0.75886524822695034</v>
      </c>
      <c r="L550" s="15">
        <v>19187.400000000001</v>
      </c>
      <c r="M550" s="15">
        <v>2348.9</v>
      </c>
      <c r="N550" s="14">
        <f t="shared" si="16"/>
        <v>2.1201413427561839E-2</v>
      </c>
      <c r="O550" s="1">
        <v>0.94</v>
      </c>
      <c r="P550" s="1">
        <f t="shared" si="17"/>
        <v>0.10906701708278581</v>
      </c>
    </row>
    <row r="551" spans="1:16" x14ac:dyDescent="0.45">
      <c r="A551" t="s">
        <v>24</v>
      </c>
      <c r="B551" t="s">
        <v>25</v>
      </c>
      <c r="C551">
        <v>2023</v>
      </c>
      <c r="D551" t="s">
        <v>26</v>
      </c>
      <c r="E551" t="s">
        <v>20</v>
      </c>
      <c r="F551">
        <v>354</v>
      </c>
      <c r="G551">
        <v>27.71</v>
      </c>
      <c r="H551">
        <v>23.87</v>
      </c>
      <c r="I551">
        <v>39</v>
      </c>
      <c r="J551" t="s">
        <v>28</v>
      </c>
      <c r="K551" s="14">
        <f>COUNTIFS(B:B,"Beta_Supplies",E:E,"Delivered") / COUNTIF(B:B,"Beta_Supplies")</f>
        <v>0.70512820512820518</v>
      </c>
      <c r="L551" s="15">
        <v>8449.98</v>
      </c>
      <c r="M551" s="15">
        <v>1359.36</v>
      </c>
      <c r="N551" s="14">
        <f t="shared" si="16"/>
        <v>0.11016949152542373</v>
      </c>
      <c r="O551" s="1">
        <v>0.24</v>
      </c>
      <c r="P551" s="1">
        <f t="shared" si="17"/>
        <v>0.13857813063875857</v>
      </c>
    </row>
    <row r="552" spans="1:16" x14ac:dyDescent="0.45">
      <c r="A552" t="s">
        <v>21</v>
      </c>
      <c r="B552" t="s">
        <v>22</v>
      </c>
      <c r="C552">
        <v>2023</v>
      </c>
      <c r="D552" t="s">
        <v>23</v>
      </c>
      <c r="E552" t="s">
        <v>20</v>
      </c>
      <c r="F552">
        <v>1765</v>
      </c>
      <c r="G552">
        <v>81.010000000000005</v>
      </c>
      <c r="H552">
        <v>78.430000000000007</v>
      </c>
      <c r="I552">
        <v>78</v>
      </c>
      <c r="J552" t="s">
        <v>17</v>
      </c>
      <c r="K552" s="14">
        <f>COUNTIFS(B:B,"Gamma_Co",E:E,"Delivered") / COUNTIF(B:B,"Gamma_Co")</f>
        <v>0.72027972027972031</v>
      </c>
      <c r="L552" s="15">
        <v>138428.95000000001</v>
      </c>
      <c r="M552" s="15">
        <v>4553.7</v>
      </c>
      <c r="N552" s="14">
        <f t="shared" si="16"/>
        <v>4.4192634560906517E-2</v>
      </c>
      <c r="O552" s="1">
        <v>0.86</v>
      </c>
      <c r="P552" s="1">
        <f t="shared" si="17"/>
        <v>3.1847920009875304E-2</v>
      </c>
    </row>
    <row r="553" spans="1:16" x14ac:dyDescent="0.45">
      <c r="A553" t="s">
        <v>24</v>
      </c>
      <c r="B553" t="s">
        <v>25</v>
      </c>
      <c r="C553">
        <v>2023</v>
      </c>
      <c r="D553" t="s">
        <v>23</v>
      </c>
      <c r="E553" t="s">
        <v>20</v>
      </c>
      <c r="F553">
        <v>731</v>
      </c>
      <c r="G553">
        <v>19.37</v>
      </c>
      <c r="H553">
        <v>17.3</v>
      </c>
      <c r="I553">
        <v>69</v>
      </c>
      <c r="J553" t="s">
        <v>28</v>
      </c>
      <c r="K553" s="14">
        <f>COUNTIFS(B:B,"Beta_Supplies",E:E,"Delivered") / COUNTIF(B:B,"Beta_Supplies")</f>
        <v>0.70512820512820518</v>
      </c>
      <c r="L553" s="15">
        <v>12646.3</v>
      </c>
      <c r="M553" s="15">
        <v>1513.17</v>
      </c>
      <c r="N553" s="14">
        <f t="shared" si="16"/>
        <v>9.4391244870041038E-2</v>
      </c>
      <c r="O553" s="1">
        <v>0.24</v>
      </c>
      <c r="P553" s="1">
        <f t="shared" si="17"/>
        <v>0.10686628807434177</v>
      </c>
    </row>
    <row r="554" spans="1:16" x14ac:dyDescent="0.45">
      <c r="A554" t="s">
        <v>29</v>
      </c>
      <c r="B554" t="s">
        <v>30</v>
      </c>
      <c r="C554">
        <v>2022</v>
      </c>
      <c r="D554" t="s">
        <v>23</v>
      </c>
      <c r="E554" t="s">
        <v>20</v>
      </c>
      <c r="F554">
        <v>887</v>
      </c>
      <c r="G554">
        <v>65.89</v>
      </c>
      <c r="H554">
        <v>59.67</v>
      </c>
      <c r="I554">
        <v>29</v>
      </c>
      <c r="J554" t="s">
        <v>17</v>
      </c>
      <c r="K554" s="14">
        <f>COUNTIFS(B:B,"Epsilon_Group",E:E,"Delivered") / COUNTIF(B:B,"Epsilon_Group")</f>
        <v>0.72289156626506024</v>
      </c>
      <c r="L554" s="15">
        <v>52927.29</v>
      </c>
      <c r="M554" s="15">
        <v>5517.14</v>
      </c>
      <c r="N554" s="14">
        <f t="shared" si="16"/>
        <v>3.269447576099211E-2</v>
      </c>
      <c r="O554" s="1">
        <v>0.98</v>
      </c>
      <c r="P554" s="1">
        <f t="shared" si="17"/>
        <v>9.4399757171042625E-2</v>
      </c>
    </row>
    <row r="555" spans="1:16" x14ac:dyDescent="0.45">
      <c r="A555" t="s">
        <v>13</v>
      </c>
      <c r="B555" t="s">
        <v>14</v>
      </c>
      <c r="C555">
        <v>2023</v>
      </c>
      <c r="D555" t="s">
        <v>23</v>
      </c>
      <c r="E555" t="s">
        <v>20</v>
      </c>
      <c r="F555">
        <v>1856</v>
      </c>
      <c r="G555">
        <v>35.29</v>
      </c>
      <c r="H555">
        <v>32.409999999999997</v>
      </c>
      <c r="I555">
        <v>26</v>
      </c>
      <c r="J555" t="s">
        <v>17</v>
      </c>
      <c r="K555" s="14">
        <f>COUNTIFS(B:B,"Alpha_Inc",E:E,"Delivered")/COUNTIF(B:B,"Alpha_Inc")</f>
        <v>0.75886524822695034</v>
      </c>
      <c r="L555" s="15">
        <v>60152.959999999999</v>
      </c>
      <c r="M555" s="15">
        <v>5345.28</v>
      </c>
      <c r="N555" s="14">
        <f t="shared" si="16"/>
        <v>1.4008620689655173E-2</v>
      </c>
      <c r="O555" s="1">
        <v>0.94</v>
      </c>
      <c r="P555" s="1">
        <f t="shared" si="17"/>
        <v>8.1609521110796335E-2</v>
      </c>
    </row>
    <row r="556" spans="1:16" x14ac:dyDescent="0.45">
      <c r="A556" t="s">
        <v>29</v>
      </c>
      <c r="B556" t="s">
        <v>30</v>
      </c>
      <c r="C556">
        <v>2023</v>
      </c>
      <c r="D556" t="s">
        <v>15</v>
      </c>
      <c r="E556" t="s">
        <v>20</v>
      </c>
      <c r="F556">
        <v>1127</v>
      </c>
      <c r="G556">
        <v>49.32</v>
      </c>
      <c r="H556">
        <v>46.49</v>
      </c>
      <c r="I556">
        <v>30</v>
      </c>
      <c r="J556" t="s">
        <v>17</v>
      </c>
      <c r="K556" s="14">
        <f>COUNTIFS(B:B,"Epsilon_Group",E:E,"Delivered") / COUNTIF(B:B,"Epsilon_Group")</f>
        <v>0.72289156626506024</v>
      </c>
      <c r="L556" s="15">
        <v>52394.23</v>
      </c>
      <c r="M556" s="15">
        <v>3189.41</v>
      </c>
      <c r="N556" s="14">
        <f t="shared" si="16"/>
        <v>2.6619343389529725E-2</v>
      </c>
      <c r="O556" s="1">
        <v>0.98</v>
      </c>
      <c r="P556" s="1">
        <f t="shared" si="17"/>
        <v>5.7380373073803698E-2</v>
      </c>
    </row>
    <row r="557" spans="1:16" x14ac:dyDescent="0.45">
      <c r="A557" t="s">
        <v>18</v>
      </c>
      <c r="B557" t="s">
        <v>19</v>
      </c>
      <c r="C557">
        <v>2022</v>
      </c>
      <c r="D557" t="s">
        <v>27</v>
      </c>
      <c r="E557" t="s">
        <v>20</v>
      </c>
      <c r="F557">
        <v>1052</v>
      </c>
      <c r="G557">
        <v>37.78</v>
      </c>
      <c r="H557">
        <v>32.6</v>
      </c>
      <c r="I557">
        <v>162</v>
      </c>
      <c r="J557" t="s">
        <v>17</v>
      </c>
      <c r="K557" s="14">
        <f>COUNTIFS(B:B,"Delta_Logistics",E:E,"Delivered") / COUNTIF(B:B,"Delta_Logistics")</f>
        <v>0.70175438596491224</v>
      </c>
      <c r="L557" s="15">
        <v>34295.199999999997</v>
      </c>
      <c r="M557" s="15">
        <v>5449.36</v>
      </c>
      <c r="N557" s="14">
        <f t="shared" si="16"/>
        <v>0.15399239543726237</v>
      </c>
      <c r="O557" s="1">
        <v>0.61</v>
      </c>
      <c r="P557" s="1">
        <f t="shared" si="17"/>
        <v>0.13710958178930649</v>
      </c>
    </row>
    <row r="558" spans="1:16" x14ac:dyDescent="0.45">
      <c r="A558" t="s">
        <v>21</v>
      </c>
      <c r="B558" t="s">
        <v>22</v>
      </c>
      <c r="C558">
        <v>2023</v>
      </c>
      <c r="D558" t="s">
        <v>27</v>
      </c>
      <c r="E558" t="s">
        <v>20</v>
      </c>
      <c r="F558">
        <v>493</v>
      </c>
      <c r="G558">
        <v>44.74</v>
      </c>
      <c r="H558">
        <v>41.44</v>
      </c>
      <c r="I558">
        <v>24</v>
      </c>
      <c r="J558" t="s">
        <v>28</v>
      </c>
      <c r="K558" s="14">
        <f>COUNTIFS(B:B,"Gamma_Co",E:E,"Delivered") / COUNTIF(B:B,"Gamma_Co")</f>
        <v>0.72027972027972031</v>
      </c>
      <c r="L558" s="15">
        <v>20429.919999999998</v>
      </c>
      <c r="M558" s="15">
        <v>1626.9</v>
      </c>
      <c r="N558" s="14">
        <f t="shared" si="16"/>
        <v>4.8681541582150101E-2</v>
      </c>
      <c r="O558" s="1">
        <v>0.14000000000000001</v>
      </c>
      <c r="P558" s="1">
        <f t="shared" si="17"/>
        <v>7.3759499329459188E-2</v>
      </c>
    </row>
    <row r="559" spans="1:16" x14ac:dyDescent="0.45">
      <c r="A559" t="s">
        <v>18</v>
      </c>
      <c r="B559" t="s">
        <v>19</v>
      </c>
      <c r="C559">
        <v>2023</v>
      </c>
      <c r="D559" t="s">
        <v>23</v>
      </c>
      <c r="E559" t="s">
        <v>31</v>
      </c>
      <c r="F559">
        <v>662</v>
      </c>
      <c r="G559">
        <v>81.44</v>
      </c>
      <c r="H559">
        <v>71.33</v>
      </c>
      <c r="I559">
        <v>87</v>
      </c>
      <c r="J559" t="s">
        <v>17</v>
      </c>
      <c r="K559" s="14">
        <f>COUNTIFS(B:B,"Delta_Logistics",E:E,"Partially Delivered") / COUNTIF(B:B,"Delta_Logistics")</f>
        <v>0.10526315789473684</v>
      </c>
      <c r="L559" s="15">
        <v>47220.46</v>
      </c>
      <c r="M559" s="15">
        <v>6692.82</v>
      </c>
      <c r="N559" s="14">
        <f t="shared" si="16"/>
        <v>0.13141993957703926</v>
      </c>
      <c r="O559" s="1">
        <v>0.61</v>
      </c>
      <c r="P559" s="1">
        <f t="shared" si="17"/>
        <v>0.12414047151277013</v>
      </c>
    </row>
    <row r="560" spans="1:16" x14ac:dyDescent="0.45">
      <c r="A560" t="s">
        <v>13</v>
      </c>
      <c r="B560" t="s">
        <v>14</v>
      </c>
      <c r="C560">
        <v>2022</v>
      </c>
      <c r="D560" t="s">
        <v>27</v>
      </c>
      <c r="E560" t="s">
        <v>20</v>
      </c>
      <c r="F560">
        <v>1042</v>
      </c>
      <c r="G560">
        <v>36.74</v>
      </c>
      <c r="H560">
        <v>35.78</v>
      </c>
      <c r="I560">
        <v>33</v>
      </c>
      <c r="J560" t="s">
        <v>17</v>
      </c>
      <c r="K560" s="14">
        <f>COUNTIFS(B:B,"Alpha_Inc",E:E,"Delivered")/COUNTIF(B:B,"Alpha_Inc")</f>
        <v>0.75886524822695034</v>
      </c>
      <c r="L560" s="15">
        <v>37282.76</v>
      </c>
      <c r="M560" s="15">
        <v>1000.32</v>
      </c>
      <c r="N560" s="14">
        <f t="shared" si="16"/>
        <v>3.166986564299424E-2</v>
      </c>
      <c r="O560" s="1">
        <v>0.94</v>
      </c>
      <c r="P560" s="1">
        <f t="shared" si="17"/>
        <v>2.6129559063690824E-2</v>
      </c>
    </row>
    <row r="561" spans="1:16" x14ac:dyDescent="0.45">
      <c r="A561" t="s">
        <v>13</v>
      </c>
      <c r="B561" t="s">
        <v>14</v>
      </c>
      <c r="C561">
        <v>2022</v>
      </c>
      <c r="D561" t="s">
        <v>27</v>
      </c>
      <c r="E561" t="s">
        <v>20</v>
      </c>
      <c r="F561">
        <v>313</v>
      </c>
      <c r="G561">
        <v>64.03</v>
      </c>
      <c r="H561">
        <v>57.74</v>
      </c>
      <c r="I561">
        <v>1</v>
      </c>
      <c r="J561" t="s">
        <v>17</v>
      </c>
      <c r="K561" s="14">
        <f>COUNTIFS(B:B,"Alpha_Inc",E:E,"Delivered")/COUNTIF(B:B,"Alpha_Inc")</f>
        <v>0.75886524822695034</v>
      </c>
      <c r="L561" s="15">
        <v>18072.62</v>
      </c>
      <c r="M561" s="15">
        <v>1968.77</v>
      </c>
      <c r="N561" s="14">
        <f t="shared" si="16"/>
        <v>3.1948881789137379E-3</v>
      </c>
      <c r="O561" s="1">
        <v>0.94</v>
      </c>
      <c r="P561" s="1">
        <f t="shared" si="17"/>
        <v>9.8235202248945788E-2</v>
      </c>
    </row>
    <row r="562" spans="1:16" x14ac:dyDescent="0.45">
      <c r="A562" t="s">
        <v>13</v>
      </c>
      <c r="B562" t="s">
        <v>14</v>
      </c>
      <c r="C562">
        <v>2022</v>
      </c>
      <c r="D562" t="s">
        <v>15</v>
      </c>
      <c r="E562" t="s">
        <v>20</v>
      </c>
      <c r="F562">
        <v>1126</v>
      </c>
      <c r="G562">
        <v>55.22</v>
      </c>
      <c r="H562">
        <v>50.38</v>
      </c>
      <c r="I562">
        <v>24</v>
      </c>
      <c r="J562" t="s">
        <v>17</v>
      </c>
      <c r="K562" s="14">
        <f>COUNTIFS(B:B,"Alpha_Inc",E:E,"Delivered")/COUNTIF(B:B,"Alpha_Inc")</f>
        <v>0.75886524822695034</v>
      </c>
      <c r="L562" s="15">
        <v>56727.88</v>
      </c>
      <c r="M562" s="15">
        <v>5449.84</v>
      </c>
      <c r="N562" s="14">
        <f t="shared" si="16"/>
        <v>2.1314387211367674E-2</v>
      </c>
      <c r="O562" s="1">
        <v>0.94</v>
      </c>
      <c r="P562" s="1">
        <f t="shared" si="17"/>
        <v>8.7649402390438183E-2</v>
      </c>
    </row>
    <row r="563" spans="1:16" x14ac:dyDescent="0.45">
      <c r="A563" t="s">
        <v>21</v>
      </c>
      <c r="B563" t="s">
        <v>22</v>
      </c>
      <c r="C563">
        <v>2022</v>
      </c>
      <c r="D563" t="s">
        <v>23</v>
      </c>
      <c r="E563" t="s">
        <v>20</v>
      </c>
      <c r="F563">
        <v>1645</v>
      </c>
      <c r="G563">
        <v>72.17</v>
      </c>
      <c r="H563">
        <v>64</v>
      </c>
      <c r="I563">
        <v>79</v>
      </c>
      <c r="J563" t="s">
        <v>17</v>
      </c>
      <c r="K563" s="14">
        <f>COUNTIFS(B:B,"Gamma_Co",E:E,"Delivered") / COUNTIF(B:B,"Gamma_Co")</f>
        <v>0.72027972027972031</v>
      </c>
      <c r="L563" s="15">
        <v>105280</v>
      </c>
      <c r="M563" s="15">
        <v>13439.65</v>
      </c>
      <c r="N563" s="14">
        <f t="shared" si="16"/>
        <v>4.8024316109422489E-2</v>
      </c>
      <c r="O563" s="1">
        <v>0.86</v>
      </c>
      <c r="P563" s="1">
        <f t="shared" si="17"/>
        <v>0.11320493279756133</v>
      </c>
    </row>
    <row r="564" spans="1:16" x14ac:dyDescent="0.45">
      <c r="A564" t="s">
        <v>24</v>
      </c>
      <c r="B564" t="s">
        <v>25</v>
      </c>
      <c r="C564">
        <v>2023</v>
      </c>
      <c r="D564" t="s">
        <v>26</v>
      </c>
      <c r="E564" t="s">
        <v>20</v>
      </c>
      <c r="F564">
        <v>1053</v>
      </c>
      <c r="G564">
        <v>100.92</v>
      </c>
      <c r="H564">
        <v>92.35</v>
      </c>
      <c r="I564">
        <v>104</v>
      </c>
      <c r="J564" t="s">
        <v>17</v>
      </c>
      <c r="K564" s="14">
        <f>COUNTIFS(B:B,"Beta_Supplies",E:E,"Delivered") / COUNTIF(B:B,"Beta_Supplies")</f>
        <v>0.70512820512820518</v>
      </c>
      <c r="L564" s="15">
        <v>97244.55</v>
      </c>
      <c r="M564" s="15">
        <v>9024.2099999999991</v>
      </c>
      <c r="N564" s="14">
        <f t="shared" si="16"/>
        <v>9.8765432098765427E-2</v>
      </c>
      <c r="O564" s="1">
        <v>0.76</v>
      </c>
      <c r="P564" s="1">
        <f t="shared" si="17"/>
        <v>8.4918747522790397E-2</v>
      </c>
    </row>
    <row r="565" spans="1:16" x14ac:dyDescent="0.45">
      <c r="A565" t="s">
        <v>29</v>
      </c>
      <c r="B565" t="s">
        <v>30</v>
      </c>
      <c r="C565">
        <v>2023</v>
      </c>
      <c r="D565" t="s">
        <v>23</v>
      </c>
      <c r="E565" t="s">
        <v>20</v>
      </c>
      <c r="F565">
        <v>1693</v>
      </c>
      <c r="G565">
        <v>83.14</v>
      </c>
      <c r="H565">
        <v>73.3</v>
      </c>
      <c r="I565">
        <v>62</v>
      </c>
      <c r="J565" t="s">
        <v>17</v>
      </c>
      <c r="K565" s="14">
        <f>COUNTIFS(B:B,"Epsilon_Group",E:E,"Delivered") / COUNTIF(B:B,"Epsilon_Group")</f>
        <v>0.72289156626506024</v>
      </c>
      <c r="L565" s="15">
        <v>124096.9</v>
      </c>
      <c r="M565" s="15">
        <v>16659.12</v>
      </c>
      <c r="N565" s="14">
        <f t="shared" si="16"/>
        <v>3.662138216184288E-2</v>
      </c>
      <c r="O565" s="1">
        <v>0.98</v>
      </c>
      <c r="P565" s="1">
        <f t="shared" si="17"/>
        <v>0.11835458263170559</v>
      </c>
    </row>
    <row r="566" spans="1:16" x14ac:dyDescent="0.45">
      <c r="A566" t="s">
        <v>29</v>
      </c>
      <c r="B566" t="s">
        <v>30</v>
      </c>
      <c r="C566">
        <v>2023</v>
      </c>
      <c r="D566" t="s">
        <v>27</v>
      </c>
      <c r="E566" t="s">
        <v>32</v>
      </c>
      <c r="F566">
        <v>54</v>
      </c>
      <c r="G566">
        <v>32.28</v>
      </c>
      <c r="H566">
        <v>28.65</v>
      </c>
      <c r="I566">
        <v>3</v>
      </c>
      <c r="J566" t="s">
        <v>17</v>
      </c>
      <c r="K566" s="14">
        <f>COUNTIFS(B:B,"Epsilon_Group",E:E,"Pending") / COUNTIF(B:B,"Epsilon_Group")</f>
        <v>0.10843373493975904</v>
      </c>
      <c r="L566" s="15">
        <v>1547.1</v>
      </c>
      <c r="M566" s="15">
        <v>196.02</v>
      </c>
      <c r="N566" s="14">
        <f t="shared" si="16"/>
        <v>5.5555555555555552E-2</v>
      </c>
      <c r="O566" s="1">
        <v>0.98</v>
      </c>
      <c r="P566" s="1">
        <f t="shared" si="17"/>
        <v>0.11245353159851308</v>
      </c>
    </row>
    <row r="567" spans="1:16" x14ac:dyDescent="0.45">
      <c r="A567" t="s">
        <v>29</v>
      </c>
      <c r="B567" t="s">
        <v>30</v>
      </c>
      <c r="C567">
        <v>2023</v>
      </c>
      <c r="D567" t="s">
        <v>26</v>
      </c>
      <c r="E567" t="s">
        <v>20</v>
      </c>
      <c r="F567">
        <v>1176</v>
      </c>
      <c r="G567">
        <v>14.22</v>
      </c>
      <c r="H567">
        <v>12.21</v>
      </c>
      <c r="I567">
        <v>33</v>
      </c>
      <c r="J567" t="s">
        <v>17</v>
      </c>
      <c r="K567" s="14">
        <f>COUNTIFS(B:B,"Epsilon_Group",E:E,"Delivered") / COUNTIF(B:B,"Epsilon_Group")</f>
        <v>0.72289156626506024</v>
      </c>
      <c r="L567" s="15">
        <v>14358.96</v>
      </c>
      <c r="M567" s="15">
        <v>2363.7600000000002</v>
      </c>
      <c r="N567" s="14">
        <f t="shared" si="16"/>
        <v>2.8061224489795918E-2</v>
      </c>
      <c r="O567" s="1">
        <v>0.98</v>
      </c>
      <c r="P567" s="1">
        <f t="shared" si="17"/>
        <v>0.1413502109704641</v>
      </c>
    </row>
    <row r="568" spans="1:16" x14ac:dyDescent="0.45">
      <c r="A568" t="s">
        <v>29</v>
      </c>
      <c r="B568" t="s">
        <v>30</v>
      </c>
      <c r="C568">
        <v>2022</v>
      </c>
      <c r="D568" t="s">
        <v>27</v>
      </c>
      <c r="E568" t="s">
        <v>20</v>
      </c>
      <c r="F568">
        <v>1269</v>
      </c>
      <c r="G568">
        <v>35.28</v>
      </c>
      <c r="H568">
        <v>33.700000000000003</v>
      </c>
      <c r="I568">
        <v>35</v>
      </c>
      <c r="J568" t="s">
        <v>17</v>
      </c>
      <c r="K568" s="14">
        <f>COUNTIFS(B:B,"Epsilon_Group",E:E,"Delivered") / COUNTIF(B:B,"Epsilon_Group")</f>
        <v>0.72289156626506024</v>
      </c>
      <c r="L568" s="15">
        <v>42765.3</v>
      </c>
      <c r="M568" s="15">
        <v>2005.02</v>
      </c>
      <c r="N568" s="14">
        <f t="shared" si="16"/>
        <v>2.7580772261623327E-2</v>
      </c>
      <c r="O568" s="1">
        <v>0.98</v>
      </c>
      <c r="P568" s="1">
        <f t="shared" si="17"/>
        <v>4.4784580498866161E-2</v>
      </c>
    </row>
    <row r="569" spans="1:16" x14ac:dyDescent="0.45">
      <c r="A569" t="s">
        <v>29</v>
      </c>
      <c r="B569" t="s">
        <v>30</v>
      </c>
      <c r="C569">
        <v>2023</v>
      </c>
      <c r="D569" t="s">
        <v>27</v>
      </c>
      <c r="E569" t="s">
        <v>20</v>
      </c>
      <c r="F569">
        <v>823</v>
      </c>
      <c r="G569">
        <v>68.319999999999993</v>
      </c>
      <c r="H569">
        <v>64.459999999999994</v>
      </c>
      <c r="I569">
        <v>19</v>
      </c>
      <c r="J569" t="s">
        <v>17</v>
      </c>
      <c r="K569" s="14">
        <f>COUNTIFS(B:B,"Epsilon_Group",E:E,"Delivered") / COUNTIF(B:B,"Epsilon_Group")</f>
        <v>0.72289156626506024</v>
      </c>
      <c r="L569" s="15">
        <v>53050.58</v>
      </c>
      <c r="M569" s="15">
        <v>3176.78</v>
      </c>
      <c r="N569" s="14">
        <f t="shared" si="16"/>
        <v>2.3086269744835967E-2</v>
      </c>
      <c r="O569" s="1">
        <v>0.98</v>
      </c>
      <c r="P569" s="1">
        <f t="shared" si="17"/>
        <v>5.6498829039812647E-2</v>
      </c>
    </row>
    <row r="570" spans="1:16" x14ac:dyDescent="0.45">
      <c r="A570" t="s">
        <v>24</v>
      </c>
      <c r="B570" t="s">
        <v>25</v>
      </c>
      <c r="C570">
        <v>2023</v>
      </c>
      <c r="D570" t="s">
        <v>33</v>
      </c>
      <c r="E570" t="s">
        <v>20</v>
      </c>
      <c r="F570">
        <v>926</v>
      </c>
      <c r="G570">
        <v>15.65</v>
      </c>
      <c r="H570">
        <v>13.49</v>
      </c>
      <c r="I570">
        <v>94</v>
      </c>
      <c r="J570" t="s">
        <v>28</v>
      </c>
      <c r="K570" s="14">
        <f>COUNTIFS(B:B,"Beta_Supplies",E:E,"Delivered") / COUNTIF(B:B,"Beta_Supplies")</f>
        <v>0.70512820512820518</v>
      </c>
      <c r="L570" s="15">
        <v>12491.74</v>
      </c>
      <c r="M570" s="15">
        <v>2000.16</v>
      </c>
      <c r="N570" s="14">
        <f t="shared" si="16"/>
        <v>0.10151187904967603</v>
      </c>
      <c r="O570" s="1">
        <v>0.24</v>
      </c>
      <c r="P570" s="1">
        <f t="shared" si="17"/>
        <v>0.13801916932907349</v>
      </c>
    </row>
    <row r="571" spans="1:16" x14ac:dyDescent="0.45">
      <c r="A571" t="s">
        <v>18</v>
      </c>
      <c r="B571" t="s">
        <v>19</v>
      </c>
      <c r="C571">
        <v>2023</v>
      </c>
      <c r="D571" t="s">
        <v>33</v>
      </c>
      <c r="E571" t="s">
        <v>16</v>
      </c>
      <c r="F571">
        <v>1041</v>
      </c>
      <c r="G571">
        <v>58.5</v>
      </c>
      <c r="H571">
        <v>52.54</v>
      </c>
      <c r="I571">
        <v>170</v>
      </c>
      <c r="J571" t="s">
        <v>28</v>
      </c>
      <c r="K571" s="14">
        <f>COUNTIFS(B:B,"Delta_Logistics",E:E,"Cancelled") / COUNTIF(B:B,"Delta_Logistics")</f>
        <v>9.3567251461988299E-2</v>
      </c>
      <c r="L571" s="15">
        <v>54694.14</v>
      </c>
      <c r="M571" s="15">
        <v>6204.36</v>
      </c>
      <c r="N571" s="14">
        <f t="shared" si="16"/>
        <v>0.1633045148895293</v>
      </c>
      <c r="O571" s="1">
        <v>0.39</v>
      </c>
      <c r="P571" s="1">
        <f t="shared" si="17"/>
        <v>0.1018803418803419</v>
      </c>
    </row>
    <row r="572" spans="1:16" x14ac:dyDescent="0.45">
      <c r="A572" t="s">
        <v>21</v>
      </c>
      <c r="B572" t="s">
        <v>22</v>
      </c>
      <c r="C572">
        <v>2023</v>
      </c>
      <c r="D572" t="s">
        <v>33</v>
      </c>
      <c r="E572" t="s">
        <v>32</v>
      </c>
      <c r="F572">
        <v>933</v>
      </c>
      <c r="G572">
        <v>70.72</v>
      </c>
      <c r="H572">
        <v>65.47</v>
      </c>
      <c r="I572">
        <v>42</v>
      </c>
      <c r="J572" t="s">
        <v>17</v>
      </c>
      <c r="K572" s="14">
        <f>COUNTIFS(B:B,"Gamma_Co",E:E,"Pending") / COUNTIF(B:B,"Gamma_Co")</f>
        <v>0.11188811188811189</v>
      </c>
      <c r="L572" s="15">
        <v>61083.51</v>
      </c>
      <c r="M572" s="15">
        <v>4898.25</v>
      </c>
      <c r="N572" s="14">
        <f t="shared" si="16"/>
        <v>4.5016077170418008E-2</v>
      </c>
      <c r="O572" s="1">
        <v>0.86</v>
      </c>
      <c r="P572" s="1">
        <f t="shared" si="17"/>
        <v>7.4236425339366516E-2</v>
      </c>
    </row>
    <row r="573" spans="1:16" x14ac:dyDescent="0.45">
      <c r="A573" t="s">
        <v>18</v>
      </c>
      <c r="B573" t="s">
        <v>19</v>
      </c>
      <c r="C573">
        <v>2022</v>
      </c>
      <c r="D573" t="s">
        <v>27</v>
      </c>
      <c r="E573" t="s">
        <v>20</v>
      </c>
      <c r="F573">
        <v>1423</v>
      </c>
      <c r="G573">
        <v>41.48</v>
      </c>
      <c r="H573">
        <v>40.9</v>
      </c>
      <c r="I573">
        <v>199</v>
      </c>
      <c r="J573" t="s">
        <v>17</v>
      </c>
      <c r="K573" s="14">
        <f>COUNTIFS(B:B,"Delta_Logistics",E:E,"Delivered") / COUNTIF(B:B,"Delta_Logistics")</f>
        <v>0.70175438596491224</v>
      </c>
      <c r="L573" s="15">
        <v>58200.7</v>
      </c>
      <c r="M573" s="15">
        <v>825.34</v>
      </c>
      <c r="N573" s="14">
        <f t="shared" si="16"/>
        <v>0.13984539704848911</v>
      </c>
      <c r="O573" s="1">
        <v>0.61</v>
      </c>
      <c r="P573" s="1">
        <f t="shared" si="17"/>
        <v>1.3982642237222717E-2</v>
      </c>
    </row>
    <row r="574" spans="1:16" x14ac:dyDescent="0.45">
      <c r="A574" t="s">
        <v>18</v>
      </c>
      <c r="B574" t="s">
        <v>19</v>
      </c>
      <c r="C574">
        <v>2023</v>
      </c>
      <c r="D574" t="s">
        <v>23</v>
      </c>
      <c r="E574" t="s">
        <v>20</v>
      </c>
      <c r="F574">
        <v>96</v>
      </c>
      <c r="G574">
        <v>86.13</v>
      </c>
      <c r="H574">
        <v>80.319999999999993</v>
      </c>
      <c r="I574">
        <v>12</v>
      </c>
      <c r="J574" t="s">
        <v>28</v>
      </c>
      <c r="K574" s="14">
        <f>COUNTIFS(B:B,"Delta_Logistics",E:E,"Delivered") / COUNTIF(B:B,"Delta_Logistics")</f>
        <v>0.70175438596491224</v>
      </c>
      <c r="L574" s="15">
        <v>7710.72</v>
      </c>
      <c r="M574" s="15">
        <v>557.76</v>
      </c>
      <c r="N574" s="14">
        <f t="shared" si="16"/>
        <v>0.125</v>
      </c>
      <c r="O574" s="1">
        <v>0.39</v>
      </c>
      <c r="P574" s="1">
        <f t="shared" si="17"/>
        <v>6.7456170904446791E-2</v>
      </c>
    </row>
    <row r="575" spans="1:16" x14ac:dyDescent="0.45">
      <c r="A575" t="s">
        <v>29</v>
      </c>
      <c r="B575" t="s">
        <v>30</v>
      </c>
      <c r="C575">
        <v>2023</v>
      </c>
      <c r="D575" t="s">
        <v>23</v>
      </c>
      <c r="E575" t="s">
        <v>20</v>
      </c>
      <c r="F575">
        <v>916</v>
      </c>
      <c r="G575">
        <v>21.06</v>
      </c>
      <c r="H575">
        <v>19.53</v>
      </c>
      <c r="I575">
        <v>25</v>
      </c>
      <c r="J575" t="s">
        <v>17</v>
      </c>
      <c r="K575" s="14">
        <f>COUNTIFS(B:B,"Epsilon_Group",E:E,"Delivered") / COUNTIF(B:B,"Epsilon_Group")</f>
        <v>0.72289156626506024</v>
      </c>
      <c r="L575" s="15">
        <v>17889.48</v>
      </c>
      <c r="M575" s="15">
        <v>1401.48</v>
      </c>
      <c r="N575" s="14">
        <f t="shared" si="16"/>
        <v>2.7292576419213975E-2</v>
      </c>
      <c r="O575" s="1">
        <v>0.98</v>
      </c>
      <c r="P575" s="1">
        <f t="shared" si="17"/>
        <v>7.2649572649572544E-2</v>
      </c>
    </row>
    <row r="576" spans="1:16" x14ac:dyDescent="0.45">
      <c r="A576" t="s">
        <v>29</v>
      </c>
      <c r="B576" t="s">
        <v>30</v>
      </c>
      <c r="C576">
        <v>2022</v>
      </c>
      <c r="D576" t="s">
        <v>27</v>
      </c>
      <c r="E576" t="s">
        <v>20</v>
      </c>
      <c r="F576">
        <v>872</v>
      </c>
      <c r="G576">
        <v>17.18</v>
      </c>
      <c r="H576">
        <v>16.63</v>
      </c>
      <c r="I576">
        <v>20</v>
      </c>
      <c r="J576" t="s">
        <v>17</v>
      </c>
      <c r="K576" s="14">
        <f>COUNTIFS(B:B,"Epsilon_Group",E:E,"Delivered") / COUNTIF(B:B,"Epsilon_Group")</f>
        <v>0.72289156626506024</v>
      </c>
      <c r="L576" s="15">
        <v>14501.36</v>
      </c>
      <c r="M576" s="15">
        <v>479.6</v>
      </c>
      <c r="N576" s="14">
        <f t="shared" si="16"/>
        <v>2.2935779816513763E-2</v>
      </c>
      <c r="O576" s="1">
        <v>0.98</v>
      </c>
      <c r="P576" s="1">
        <f t="shared" si="17"/>
        <v>3.2013969732246843E-2</v>
      </c>
    </row>
    <row r="577" spans="1:16" x14ac:dyDescent="0.45">
      <c r="A577" t="s">
        <v>24</v>
      </c>
      <c r="B577" t="s">
        <v>25</v>
      </c>
      <c r="C577">
        <v>2023</v>
      </c>
      <c r="D577" t="s">
        <v>33</v>
      </c>
      <c r="E577" t="s">
        <v>20</v>
      </c>
      <c r="F577">
        <v>985</v>
      </c>
      <c r="G577">
        <v>83.85</v>
      </c>
      <c r="H577">
        <v>80.88</v>
      </c>
      <c r="I577">
        <v>105</v>
      </c>
      <c r="J577" t="s">
        <v>28</v>
      </c>
      <c r="K577" s="14">
        <f>COUNTIFS(B:B,"Beta_Supplies",E:E,"Delivered") / COUNTIF(B:B,"Beta_Supplies")</f>
        <v>0.70512820512820518</v>
      </c>
      <c r="L577" s="15">
        <v>79666.8</v>
      </c>
      <c r="M577" s="15">
        <v>2925.45</v>
      </c>
      <c r="N577" s="14">
        <f t="shared" si="16"/>
        <v>0.1065989847715736</v>
      </c>
      <c r="O577" s="1">
        <v>0.24</v>
      </c>
      <c r="P577" s="1">
        <f t="shared" si="17"/>
        <v>3.5420393559928431E-2</v>
      </c>
    </row>
    <row r="578" spans="1:16" x14ac:dyDescent="0.45">
      <c r="A578" t="s">
        <v>21</v>
      </c>
      <c r="B578" t="s">
        <v>22</v>
      </c>
      <c r="C578">
        <v>2022</v>
      </c>
      <c r="D578" t="s">
        <v>27</v>
      </c>
      <c r="E578" t="s">
        <v>20</v>
      </c>
      <c r="F578">
        <v>1893</v>
      </c>
      <c r="G578">
        <v>55.14</v>
      </c>
      <c r="H578">
        <v>50.1</v>
      </c>
      <c r="I578">
        <v>98</v>
      </c>
      <c r="J578" t="s">
        <v>17</v>
      </c>
      <c r="K578" s="14">
        <f>COUNTIFS(B:B,"Gamma_Co",E:E,"Delivered") / COUNTIF(B:B,"Gamma_Co")</f>
        <v>0.72027972027972031</v>
      </c>
      <c r="L578" s="15">
        <v>94839.3</v>
      </c>
      <c r="M578" s="15">
        <v>9540.7199999999993</v>
      </c>
      <c r="N578" s="14">
        <f t="shared" ref="N578:N641" si="18">I578/F578</f>
        <v>5.1769677760169046E-2</v>
      </c>
      <c r="O578" s="1">
        <v>0.86</v>
      </c>
      <c r="P578" s="1">
        <f t="shared" si="17"/>
        <v>9.14036996735582E-2</v>
      </c>
    </row>
    <row r="579" spans="1:16" x14ac:dyDescent="0.45">
      <c r="A579" t="s">
        <v>13</v>
      </c>
      <c r="B579" t="s">
        <v>14</v>
      </c>
      <c r="C579">
        <v>2022</v>
      </c>
      <c r="D579" t="s">
        <v>23</v>
      </c>
      <c r="E579" t="s">
        <v>20</v>
      </c>
      <c r="F579">
        <v>705</v>
      </c>
      <c r="G579">
        <v>75.19</v>
      </c>
      <c r="H579">
        <v>69.55</v>
      </c>
      <c r="I579">
        <v>19</v>
      </c>
      <c r="J579" t="s">
        <v>17</v>
      </c>
      <c r="K579" s="14">
        <f>COUNTIFS(B:B,"Alpha_Inc",E:E,"Delivered")/COUNTIF(B:B,"Alpha_Inc")</f>
        <v>0.75886524822695034</v>
      </c>
      <c r="L579" s="15">
        <v>49032.75</v>
      </c>
      <c r="M579" s="15">
        <v>3976.2</v>
      </c>
      <c r="N579" s="14">
        <f t="shared" si="18"/>
        <v>2.6950354609929079E-2</v>
      </c>
      <c r="O579" s="1">
        <v>0.94</v>
      </c>
      <c r="P579" s="1">
        <f t="shared" ref="P579:P642" si="19">((G579-H579)/G579)</f>
        <v>7.5009974730682286E-2</v>
      </c>
    </row>
    <row r="580" spans="1:16" x14ac:dyDescent="0.45">
      <c r="A580" t="s">
        <v>18</v>
      </c>
      <c r="B580" t="s">
        <v>19</v>
      </c>
      <c r="C580">
        <v>2023</v>
      </c>
      <c r="D580" t="s">
        <v>23</v>
      </c>
      <c r="E580" t="s">
        <v>20</v>
      </c>
      <c r="F580">
        <v>318</v>
      </c>
      <c r="G580">
        <v>53.31</v>
      </c>
      <c r="H580">
        <v>51.78</v>
      </c>
      <c r="I580">
        <v>155</v>
      </c>
      <c r="J580" t="s">
        <v>28</v>
      </c>
      <c r="K580" s="14">
        <f>COUNTIFS(B:B,"Delta_Logistics",E:E,"Delivered") / COUNTIF(B:B,"Delta_Logistics")</f>
        <v>0.70175438596491224</v>
      </c>
      <c r="L580" s="15">
        <v>16466.04</v>
      </c>
      <c r="M580" s="15">
        <v>486.54</v>
      </c>
      <c r="N580" s="14">
        <f t="shared" si="18"/>
        <v>0.48742138364779874</v>
      </c>
      <c r="O580" s="1">
        <v>0.39</v>
      </c>
      <c r="P580" s="1">
        <f t="shared" si="19"/>
        <v>2.8700056274620165E-2</v>
      </c>
    </row>
    <row r="581" spans="1:16" x14ac:dyDescent="0.45">
      <c r="A581" t="s">
        <v>13</v>
      </c>
      <c r="B581" t="s">
        <v>14</v>
      </c>
      <c r="C581">
        <v>2023</v>
      </c>
      <c r="D581" t="s">
        <v>15</v>
      </c>
      <c r="E581" t="s">
        <v>32</v>
      </c>
      <c r="F581">
        <v>419</v>
      </c>
      <c r="G581">
        <v>35.72</v>
      </c>
      <c r="H581">
        <v>32.74</v>
      </c>
      <c r="I581">
        <v>7</v>
      </c>
      <c r="J581" t="s">
        <v>17</v>
      </c>
      <c r="K581" s="14">
        <f>COUNTIFS(B:B,"Alpha_Inc",E:E,"Pending")/COUNTIF(B:B,"Alpha_Inc")</f>
        <v>7.8014184397163122E-2</v>
      </c>
      <c r="L581" s="15">
        <v>13718.06</v>
      </c>
      <c r="M581" s="15">
        <v>1248.6199999999999</v>
      </c>
      <c r="N581" s="14">
        <f t="shared" si="18"/>
        <v>1.6706443914081145E-2</v>
      </c>
      <c r="O581" s="1">
        <v>0.94</v>
      </c>
      <c r="P581" s="1">
        <f t="shared" si="19"/>
        <v>8.3426651735722196E-2</v>
      </c>
    </row>
    <row r="582" spans="1:16" x14ac:dyDescent="0.45">
      <c r="A582" t="s">
        <v>21</v>
      </c>
      <c r="B582" t="s">
        <v>22</v>
      </c>
      <c r="C582">
        <v>2023</v>
      </c>
      <c r="D582" t="s">
        <v>23</v>
      </c>
      <c r="E582" t="s">
        <v>20</v>
      </c>
      <c r="F582">
        <v>685</v>
      </c>
      <c r="G582">
        <v>92.51</v>
      </c>
      <c r="H582">
        <v>90.05</v>
      </c>
      <c r="I582">
        <v>38</v>
      </c>
      <c r="J582" t="s">
        <v>17</v>
      </c>
      <c r="K582" s="14">
        <f>COUNTIFS(B:B,"Gamma_Co",E:E,"Delivered") / COUNTIF(B:B,"Gamma_Co")</f>
        <v>0.72027972027972031</v>
      </c>
      <c r="L582" s="15">
        <v>61684.25</v>
      </c>
      <c r="M582" s="15">
        <v>1685.1</v>
      </c>
      <c r="N582" s="14">
        <f t="shared" si="18"/>
        <v>5.5474452554744529E-2</v>
      </c>
      <c r="O582" s="1">
        <v>0.86</v>
      </c>
      <c r="P582" s="1">
        <f t="shared" si="19"/>
        <v>2.6591719814074238E-2</v>
      </c>
    </row>
    <row r="583" spans="1:16" x14ac:dyDescent="0.45">
      <c r="A583" t="s">
        <v>18</v>
      </c>
      <c r="B583" t="s">
        <v>19</v>
      </c>
      <c r="C583">
        <v>2023</v>
      </c>
      <c r="D583" t="s">
        <v>15</v>
      </c>
      <c r="E583" t="s">
        <v>31</v>
      </c>
      <c r="F583">
        <v>1179</v>
      </c>
      <c r="G583">
        <v>90.14</v>
      </c>
      <c r="H583">
        <v>82.63</v>
      </c>
      <c r="I583">
        <v>194</v>
      </c>
      <c r="J583" t="s">
        <v>17</v>
      </c>
      <c r="K583" s="14">
        <f>COUNTIFS(B:B,"Delta_Logistics",E:E,"Partially Delivered") / COUNTIF(B:B,"Delta_Logistics")</f>
        <v>0.10526315789473684</v>
      </c>
      <c r="L583" s="15">
        <v>97420.77</v>
      </c>
      <c r="M583" s="15">
        <v>8854.2900000000009</v>
      </c>
      <c r="N583" s="14">
        <f t="shared" si="18"/>
        <v>0.1645462256149279</v>
      </c>
      <c r="O583" s="1">
        <v>0.61</v>
      </c>
      <c r="P583" s="1">
        <f t="shared" si="19"/>
        <v>8.3314843576658582E-2</v>
      </c>
    </row>
    <row r="584" spans="1:16" x14ac:dyDescent="0.45">
      <c r="A584" t="s">
        <v>13</v>
      </c>
      <c r="B584" t="s">
        <v>14</v>
      </c>
      <c r="C584">
        <v>2022</v>
      </c>
      <c r="D584" t="s">
        <v>27</v>
      </c>
      <c r="E584" t="s">
        <v>20</v>
      </c>
      <c r="F584">
        <v>1743</v>
      </c>
      <c r="G584">
        <v>76.510000000000005</v>
      </c>
      <c r="H584">
        <v>65.88</v>
      </c>
      <c r="I584">
        <v>40</v>
      </c>
      <c r="J584" t="s">
        <v>17</v>
      </c>
      <c r="K584" s="14">
        <f>COUNTIFS(B:B,"Alpha_Inc",E:E,"Delivered")/COUNTIF(B:B,"Alpha_Inc")</f>
        <v>0.75886524822695034</v>
      </c>
      <c r="L584" s="15">
        <v>114828.84</v>
      </c>
      <c r="M584" s="15">
        <v>18528.09</v>
      </c>
      <c r="N584" s="14">
        <f t="shared" si="18"/>
        <v>2.2948938611589215E-2</v>
      </c>
      <c r="O584" s="1">
        <v>0.94</v>
      </c>
      <c r="P584" s="1">
        <f t="shared" si="19"/>
        <v>0.13893608678604116</v>
      </c>
    </row>
    <row r="585" spans="1:16" x14ac:dyDescent="0.45">
      <c r="A585" t="s">
        <v>13</v>
      </c>
      <c r="B585" t="s">
        <v>14</v>
      </c>
      <c r="C585">
        <v>2022</v>
      </c>
      <c r="D585" t="s">
        <v>23</v>
      </c>
      <c r="E585" t="s">
        <v>20</v>
      </c>
      <c r="F585">
        <v>1732</v>
      </c>
      <c r="G585">
        <v>35.01</v>
      </c>
      <c r="H585">
        <v>34.18</v>
      </c>
      <c r="I585">
        <v>40</v>
      </c>
      <c r="J585" t="s">
        <v>17</v>
      </c>
      <c r="K585" s="14">
        <f>COUNTIFS(B:B,"Alpha_Inc",E:E,"Delivered")/COUNTIF(B:B,"Alpha_Inc")</f>
        <v>0.75886524822695034</v>
      </c>
      <c r="L585" s="15">
        <v>59199.76</v>
      </c>
      <c r="M585" s="15">
        <v>1437.56</v>
      </c>
      <c r="N585" s="14">
        <f t="shared" si="18"/>
        <v>2.3094688221709007E-2</v>
      </c>
      <c r="O585" s="1">
        <v>0.94</v>
      </c>
      <c r="P585" s="1">
        <f t="shared" si="19"/>
        <v>2.3707512139388699E-2</v>
      </c>
    </row>
    <row r="586" spans="1:16" x14ac:dyDescent="0.45">
      <c r="A586" t="s">
        <v>24</v>
      </c>
      <c r="B586" t="s">
        <v>25</v>
      </c>
      <c r="C586">
        <v>2022</v>
      </c>
      <c r="D586" t="s">
        <v>15</v>
      </c>
      <c r="E586" t="s">
        <v>20</v>
      </c>
      <c r="F586">
        <v>706</v>
      </c>
      <c r="G586">
        <v>65.33</v>
      </c>
      <c r="H586">
        <v>62.06</v>
      </c>
      <c r="I586">
        <v>60</v>
      </c>
      <c r="J586" t="s">
        <v>28</v>
      </c>
      <c r="K586" s="14">
        <f>COUNTIFS(B:B,"Beta_Supplies",E:E,"Delivered") / COUNTIF(B:B,"Beta_Supplies")</f>
        <v>0.70512820512820518</v>
      </c>
      <c r="L586" s="15">
        <v>43814.36</v>
      </c>
      <c r="M586" s="15">
        <v>2308.62</v>
      </c>
      <c r="N586" s="14">
        <f t="shared" si="18"/>
        <v>8.4985835694050993E-2</v>
      </c>
      <c r="O586" s="1">
        <v>0.24</v>
      </c>
      <c r="P586" s="1">
        <f t="shared" si="19"/>
        <v>5.005357416194698E-2</v>
      </c>
    </row>
    <row r="587" spans="1:16" x14ac:dyDescent="0.45">
      <c r="A587" t="s">
        <v>21</v>
      </c>
      <c r="B587" t="s">
        <v>22</v>
      </c>
      <c r="C587">
        <v>2023</v>
      </c>
      <c r="D587" t="s">
        <v>23</v>
      </c>
      <c r="E587" t="s">
        <v>16</v>
      </c>
      <c r="F587">
        <v>169</v>
      </c>
      <c r="G587">
        <v>47.16</v>
      </c>
      <c r="H587">
        <v>43.4</v>
      </c>
      <c r="I587">
        <v>55</v>
      </c>
      <c r="J587" t="s">
        <v>17</v>
      </c>
      <c r="K587" s="14">
        <f>COUNTIFS(B:B,"Gamma_Co",E:E,"Cancelled") / COUNTIF(B:B,"Gamma_Co")</f>
        <v>4.195804195804196E-2</v>
      </c>
      <c r="L587" s="15">
        <v>7334.6</v>
      </c>
      <c r="M587" s="15">
        <v>635.44000000000005</v>
      </c>
      <c r="N587" s="14">
        <f t="shared" si="18"/>
        <v>0.32544378698224852</v>
      </c>
      <c r="O587" s="1">
        <v>0.86</v>
      </c>
      <c r="P587" s="1">
        <f t="shared" si="19"/>
        <v>7.9728583545377402E-2</v>
      </c>
    </row>
    <row r="588" spans="1:16" x14ac:dyDescent="0.45">
      <c r="A588" t="s">
        <v>21</v>
      </c>
      <c r="B588" t="s">
        <v>22</v>
      </c>
      <c r="C588">
        <v>2022</v>
      </c>
      <c r="D588" t="s">
        <v>15</v>
      </c>
      <c r="E588" t="s">
        <v>32</v>
      </c>
      <c r="F588">
        <v>880</v>
      </c>
      <c r="G588">
        <v>19.149999999999999</v>
      </c>
      <c r="H588">
        <v>18.690000000000001</v>
      </c>
      <c r="I588">
        <v>55</v>
      </c>
      <c r="J588" t="s">
        <v>28</v>
      </c>
      <c r="K588" s="14">
        <f>COUNTIFS(B:B,"Gamma_Co",E:E,"Pending") / COUNTIF(B:B,"Gamma_Co")</f>
        <v>0.11188811188811189</v>
      </c>
      <c r="L588" s="15">
        <v>16447.2</v>
      </c>
      <c r="M588" s="15">
        <v>404.8</v>
      </c>
      <c r="N588" s="14">
        <f t="shared" si="18"/>
        <v>6.25E-2</v>
      </c>
      <c r="O588" s="1">
        <v>0.14000000000000001</v>
      </c>
      <c r="P588" s="1">
        <f t="shared" si="19"/>
        <v>2.4020887728459391E-2</v>
      </c>
    </row>
    <row r="589" spans="1:16" x14ac:dyDescent="0.45">
      <c r="A589" t="s">
        <v>21</v>
      </c>
      <c r="B589" t="s">
        <v>22</v>
      </c>
      <c r="C589">
        <v>2022</v>
      </c>
      <c r="D589" t="s">
        <v>23</v>
      </c>
      <c r="E589" t="s">
        <v>20</v>
      </c>
      <c r="F589">
        <v>1860</v>
      </c>
      <c r="G589">
        <v>95.8</v>
      </c>
      <c r="H589">
        <v>92.17</v>
      </c>
      <c r="I589">
        <v>105</v>
      </c>
      <c r="J589" t="s">
        <v>28</v>
      </c>
      <c r="K589" s="14">
        <f>COUNTIFS(B:B,"Gamma_Co",E:E,"Delivered") / COUNTIF(B:B,"Gamma_Co")</f>
        <v>0.72027972027972031</v>
      </c>
      <c r="L589" s="15">
        <v>171436.2</v>
      </c>
      <c r="M589" s="15">
        <v>6751.8</v>
      </c>
      <c r="N589" s="14">
        <f t="shared" si="18"/>
        <v>5.6451612903225805E-2</v>
      </c>
      <c r="O589" s="1">
        <v>0.14000000000000001</v>
      </c>
      <c r="P589" s="1">
        <f t="shared" si="19"/>
        <v>3.7891440501043795E-2</v>
      </c>
    </row>
    <row r="590" spans="1:16" x14ac:dyDescent="0.45">
      <c r="A590" t="s">
        <v>18</v>
      </c>
      <c r="B590" t="s">
        <v>19</v>
      </c>
      <c r="C590">
        <v>2022</v>
      </c>
      <c r="D590" t="s">
        <v>23</v>
      </c>
      <c r="E590" t="s">
        <v>20</v>
      </c>
      <c r="F590">
        <v>1677</v>
      </c>
      <c r="G590">
        <v>22.98</v>
      </c>
      <c r="H590">
        <v>21.71</v>
      </c>
      <c r="I590">
        <v>246</v>
      </c>
      <c r="J590" t="s">
        <v>17</v>
      </c>
      <c r="K590" s="14">
        <f>COUNTIFS(B:B,"Delta_Logistics",E:E,"Delivered") / COUNTIF(B:B,"Delta_Logistics")</f>
        <v>0.70175438596491224</v>
      </c>
      <c r="L590" s="15">
        <v>36407.67</v>
      </c>
      <c r="M590" s="15">
        <v>2129.79</v>
      </c>
      <c r="N590" s="14">
        <f t="shared" si="18"/>
        <v>0.14669051878354203</v>
      </c>
      <c r="O590" s="1">
        <v>0.61</v>
      </c>
      <c r="P590" s="1">
        <f t="shared" si="19"/>
        <v>5.5265448215839841E-2</v>
      </c>
    </row>
    <row r="591" spans="1:16" x14ac:dyDescent="0.45">
      <c r="A591" t="s">
        <v>24</v>
      </c>
      <c r="B591" t="s">
        <v>25</v>
      </c>
      <c r="C591">
        <v>2022</v>
      </c>
      <c r="D591" t="s">
        <v>26</v>
      </c>
      <c r="E591" t="s">
        <v>31</v>
      </c>
      <c r="F591">
        <v>1131</v>
      </c>
      <c r="G591">
        <v>97.43</v>
      </c>
      <c r="H591">
        <v>91.28</v>
      </c>
      <c r="I591">
        <v>103</v>
      </c>
      <c r="J591" t="s">
        <v>17</v>
      </c>
      <c r="K591" s="14">
        <f>COUNTIFS(B:B,"Beta_Supplies",E:E,"Partially Delivered") / COUNTIF(B:B,"Beta_Supplies")</f>
        <v>8.3333333333333329E-2</v>
      </c>
      <c r="L591" s="15">
        <v>103237.68</v>
      </c>
      <c r="M591" s="15">
        <v>6955.65</v>
      </c>
      <c r="N591" s="14">
        <f t="shared" si="18"/>
        <v>9.1069849690539342E-2</v>
      </c>
      <c r="O591" s="1">
        <v>0.76</v>
      </c>
      <c r="P591" s="1">
        <f t="shared" si="19"/>
        <v>6.3122241609360627E-2</v>
      </c>
    </row>
    <row r="592" spans="1:16" x14ac:dyDescent="0.45">
      <c r="A592" t="s">
        <v>29</v>
      </c>
      <c r="B592" t="s">
        <v>30</v>
      </c>
      <c r="C592">
        <v>2022</v>
      </c>
      <c r="D592" t="s">
        <v>27</v>
      </c>
      <c r="E592" t="s">
        <v>16</v>
      </c>
      <c r="F592">
        <v>1419</v>
      </c>
      <c r="G592">
        <v>50.14</v>
      </c>
      <c r="H592">
        <v>43.46</v>
      </c>
      <c r="I592">
        <v>33</v>
      </c>
      <c r="J592" t="s">
        <v>17</v>
      </c>
      <c r="K592" s="14">
        <f>COUNTIFS(B:B,"Epsilon_Group",E:E,"Cancelled") / COUNTIF(B:B,"Epsilon_Group")</f>
        <v>8.4337349397590355E-2</v>
      </c>
      <c r="L592" s="15">
        <v>61669.74</v>
      </c>
      <c r="M592" s="15">
        <v>9478.92</v>
      </c>
      <c r="N592" s="14">
        <f t="shared" si="18"/>
        <v>2.3255813953488372E-2</v>
      </c>
      <c r="O592" s="1">
        <v>0.98</v>
      </c>
      <c r="P592" s="1">
        <f t="shared" si="19"/>
        <v>0.13322696449940166</v>
      </c>
    </row>
    <row r="593" spans="1:16" x14ac:dyDescent="0.45">
      <c r="A593" t="s">
        <v>18</v>
      </c>
      <c r="B593" t="s">
        <v>19</v>
      </c>
      <c r="C593">
        <v>2022</v>
      </c>
      <c r="D593" t="s">
        <v>27</v>
      </c>
      <c r="E593" t="s">
        <v>32</v>
      </c>
      <c r="F593">
        <v>790</v>
      </c>
      <c r="G593">
        <v>26.8</v>
      </c>
      <c r="H593">
        <v>25.62</v>
      </c>
      <c r="I593">
        <v>115</v>
      </c>
      <c r="J593" t="s">
        <v>17</v>
      </c>
      <c r="K593" s="14">
        <f>COUNTIFS(B:B,"Delta_Logistics",E:E,"Pending") / COUNTIF(B:B,"Delta_Logistics")</f>
        <v>9.9415204678362568E-2</v>
      </c>
      <c r="L593" s="15">
        <v>20239.8</v>
      </c>
      <c r="M593" s="15">
        <v>932.2</v>
      </c>
      <c r="N593" s="14">
        <f t="shared" si="18"/>
        <v>0.14556962025316456</v>
      </c>
      <c r="O593" s="1">
        <v>0.61</v>
      </c>
      <c r="P593" s="1">
        <f t="shared" si="19"/>
        <v>4.4029850746268646E-2</v>
      </c>
    </row>
    <row r="594" spans="1:16" x14ac:dyDescent="0.45">
      <c r="A594" t="s">
        <v>21</v>
      </c>
      <c r="B594" t="s">
        <v>22</v>
      </c>
      <c r="C594">
        <v>2022</v>
      </c>
      <c r="D594" t="s">
        <v>23</v>
      </c>
      <c r="E594" t="s">
        <v>32</v>
      </c>
      <c r="F594">
        <v>1547</v>
      </c>
      <c r="G594">
        <v>61.12</v>
      </c>
      <c r="H594">
        <v>53.43</v>
      </c>
      <c r="I594">
        <v>77</v>
      </c>
      <c r="J594" t="s">
        <v>17</v>
      </c>
      <c r="K594" s="14">
        <f>COUNTIFS(B:B,"Gamma_Co",E:E,"Pending") / COUNTIF(B:B,"Gamma_Co")</f>
        <v>0.11188811188811189</v>
      </c>
      <c r="L594" s="15">
        <v>82656.210000000006</v>
      </c>
      <c r="M594" s="15">
        <v>11896.43</v>
      </c>
      <c r="N594" s="14">
        <f t="shared" si="18"/>
        <v>4.9773755656108594E-2</v>
      </c>
      <c r="O594" s="1">
        <v>0.86</v>
      </c>
      <c r="P594" s="1">
        <f t="shared" si="19"/>
        <v>0.1258180628272251</v>
      </c>
    </row>
    <row r="595" spans="1:16" x14ac:dyDescent="0.45">
      <c r="A595" t="s">
        <v>18</v>
      </c>
      <c r="B595" t="s">
        <v>19</v>
      </c>
      <c r="C595">
        <v>2023</v>
      </c>
      <c r="D595" t="s">
        <v>15</v>
      </c>
      <c r="E595" t="s">
        <v>16</v>
      </c>
      <c r="F595">
        <v>166</v>
      </c>
      <c r="G595">
        <v>95.65</v>
      </c>
      <c r="H595">
        <v>94.48</v>
      </c>
      <c r="I595">
        <v>23</v>
      </c>
      <c r="J595" t="s">
        <v>17</v>
      </c>
      <c r="K595" s="14">
        <f>COUNTIFS(B:B,"Delta_Logistics",E:E,"Cancelled") / COUNTIF(B:B,"Delta_Logistics")</f>
        <v>9.3567251461988299E-2</v>
      </c>
      <c r="L595" s="15">
        <v>15683.68</v>
      </c>
      <c r="M595" s="15">
        <v>194.22</v>
      </c>
      <c r="N595" s="14">
        <f t="shared" si="18"/>
        <v>0.13855421686746988</v>
      </c>
      <c r="O595" s="1">
        <v>0.61</v>
      </c>
      <c r="P595" s="1">
        <f t="shared" si="19"/>
        <v>1.2232096184004199E-2</v>
      </c>
    </row>
    <row r="596" spans="1:16" x14ac:dyDescent="0.45">
      <c r="A596" t="s">
        <v>13</v>
      </c>
      <c r="B596" t="s">
        <v>14</v>
      </c>
      <c r="C596">
        <v>2023</v>
      </c>
      <c r="D596" t="s">
        <v>33</v>
      </c>
      <c r="E596" t="s">
        <v>20</v>
      </c>
      <c r="F596">
        <v>1903</v>
      </c>
      <c r="G596">
        <v>83.49</v>
      </c>
      <c r="H596">
        <v>82.33</v>
      </c>
      <c r="I596">
        <v>43</v>
      </c>
      <c r="J596" t="s">
        <v>17</v>
      </c>
      <c r="K596" s="14">
        <f>COUNTIFS(B:B,"Alpha_Inc",E:E,"Delivered")/COUNTIF(B:B,"Alpha_Inc")</f>
        <v>0.75886524822695034</v>
      </c>
      <c r="L596" s="15">
        <v>156673.99</v>
      </c>
      <c r="M596" s="15">
        <v>2207.48</v>
      </c>
      <c r="N596" s="14">
        <f t="shared" si="18"/>
        <v>2.2595901208617972E-2</v>
      </c>
      <c r="O596" s="1">
        <v>0.94</v>
      </c>
      <c r="P596" s="1">
        <f t="shared" si="19"/>
        <v>1.3893879506527687E-2</v>
      </c>
    </row>
    <row r="597" spans="1:16" x14ac:dyDescent="0.45">
      <c r="A597" t="s">
        <v>18</v>
      </c>
      <c r="B597" t="s">
        <v>19</v>
      </c>
      <c r="C597">
        <v>2022</v>
      </c>
      <c r="D597" t="s">
        <v>15</v>
      </c>
      <c r="E597" t="s">
        <v>31</v>
      </c>
      <c r="F597">
        <v>840</v>
      </c>
      <c r="G597">
        <v>83.42</v>
      </c>
      <c r="H597">
        <v>80.349999999999994</v>
      </c>
      <c r="I597">
        <v>153</v>
      </c>
      <c r="J597" t="s">
        <v>17</v>
      </c>
      <c r="K597" s="14">
        <f>COUNTIFS(B:B,"Delta_Logistics",E:E,"Partially Delivered") / COUNTIF(B:B,"Delta_Logistics")</f>
        <v>0.10526315789473684</v>
      </c>
      <c r="L597" s="15">
        <v>67494</v>
      </c>
      <c r="M597" s="15">
        <v>2578.8000000000002</v>
      </c>
      <c r="N597" s="14">
        <f t="shared" si="18"/>
        <v>0.18214285714285713</v>
      </c>
      <c r="O597" s="1">
        <v>0.61</v>
      </c>
      <c r="P597" s="1">
        <f t="shared" si="19"/>
        <v>3.680172620474715E-2</v>
      </c>
    </row>
    <row r="598" spans="1:16" x14ac:dyDescent="0.45">
      <c r="A598" t="s">
        <v>18</v>
      </c>
      <c r="B598" t="s">
        <v>19</v>
      </c>
      <c r="C598">
        <v>2023</v>
      </c>
      <c r="D598" t="s">
        <v>23</v>
      </c>
      <c r="E598" t="s">
        <v>20</v>
      </c>
      <c r="F598">
        <v>1200</v>
      </c>
      <c r="G598">
        <v>74.489999999999995</v>
      </c>
      <c r="H598">
        <v>64.63</v>
      </c>
      <c r="I598">
        <v>161</v>
      </c>
      <c r="J598" t="s">
        <v>17</v>
      </c>
      <c r="K598" s="14">
        <f>COUNTIFS(B:B,"Delta_Logistics",E:E,"Delivered") / COUNTIF(B:B,"Delta_Logistics")</f>
        <v>0.70175438596491224</v>
      </c>
      <c r="L598" s="15">
        <v>77556</v>
      </c>
      <c r="M598" s="15">
        <v>11832</v>
      </c>
      <c r="N598" s="14">
        <f t="shared" si="18"/>
        <v>0.13416666666666666</v>
      </c>
      <c r="O598" s="1">
        <v>0.61</v>
      </c>
      <c r="P598" s="1">
        <f t="shared" si="19"/>
        <v>0.13236676063901195</v>
      </c>
    </row>
    <row r="599" spans="1:16" x14ac:dyDescent="0.45">
      <c r="A599" t="s">
        <v>21</v>
      </c>
      <c r="B599" t="s">
        <v>22</v>
      </c>
      <c r="C599">
        <v>2023</v>
      </c>
      <c r="D599" t="s">
        <v>27</v>
      </c>
      <c r="E599" t="s">
        <v>20</v>
      </c>
      <c r="F599">
        <v>1466</v>
      </c>
      <c r="G599">
        <v>77.37</v>
      </c>
      <c r="H599">
        <v>70.349999999999994</v>
      </c>
      <c r="I599">
        <v>72</v>
      </c>
      <c r="J599" t="s">
        <v>17</v>
      </c>
      <c r="K599" s="14">
        <f>COUNTIFS(B:B,"Gamma_Co",E:E,"Delivered") / COUNTIF(B:B,"Gamma_Co")</f>
        <v>0.72027972027972031</v>
      </c>
      <c r="L599" s="15">
        <v>103133.1</v>
      </c>
      <c r="M599" s="15">
        <v>10291.32</v>
      </c>
      <c r="N599" s="14">
        <f t="shared" si="18"/>
        <v>4.9113233287858118E-2</v>
      </c>
      <c r="O599" s="1">
        <v>0.86</v>
      </c>
      <c r="P599" s="1">
        <f t="shared" si="19"/>
        <v>9.0732842186894272E-2</v>
      </c>
    </row>
    <row r="600" spans="1:16" x14ac:dyDescent="0.45">
      <c r="A600" t="s">
        <v>13</v>
      </c>
      <c r="B600" t="s">
        <v>14</v>
      </c>
      <c r="C600">
        <v>2023</v>
      </c>
      <c r="D600" t="s">
        <v>15</v>
      </c>
      <c r="E600" t="s">
        <v>20</v>
      </c>
      <c r="F600">
        <v>1981</v>
      </c>
      <c r="G600">
        <v>95.5</v>
      </c>
      <c r="H600">
        <v>94.39</v>
      </c>
      <c r="I600">
        <v>49</v>
      </c>
      <c r="J600" t="s">
        <v>17</v>
      </c>
      <c r="K600" s="14">
        <f>COUNTIFS(B:B,"Alpha_Inc",E:E,"Delivered")/COUNTIF(B:B,"Alpha_Inc")</f>
        <v>0.75886524822695034</v>
      </c>
      <c r="L600" s="15">
        <v>186986.59</v>
      </c>
      <c r="M600" s="15">
        <v>2198.91</v>
      </c>
      <c r="N600" s="14">
        <f t="shared" si="18"/>
        <v>2.4734982332155476E-2</v>
      </c>
      <c r="O600" s="1">
        <v>0.94</v>
      </c>
      <c r="P600" s="1">
        <f t="shared" si="19"/>
        <v>1.1623036649214654E-2</v>
      </c>
    </row>
    <row r="601" spans="1:16" x14ac:dyDescent="0.45">
      <c r="A601" t="s">
        <v>21</v>
      </c>
      <c r="B601" t="s">
        <v>22</v>
      </c>
      <c r="C601">
        <v>2023</v>
      </c>
      <c r="D601" t="s">
        <v>26</v>
      </c>
      <c r="E601" t="s">
        <v>20</v>
      </c>
      <c r="F601">
        <v>1062</v>
      </c>
      <c r="G601">
        <v>35.549999999999997</v>
      </c>
      <c r="H601">
        <v>32.380000000000003</v>
      </c>
      <c r="I601">
        <v>55</v>
      </c>
      <c r="J601" t="s">
        <v>17</v>
      </c>
      <c r="K601" s="14">
        <f>COUNTIFS(B:B,"Gamma_Co",E:E,"Delivered") / COUNTIF(B:B,"Gamma_Co")</f>
        <v>0.72027972027972031</v>
      </c>
      <c r="L601" s="15">
        <v>34387.56</v>
      </c>
      <c r="M601" s="15">
        <v>3366.54</v>
      </c>
      <c r="N601" s="14">
        <f t="shared" si="18"/>
        <v>5.1789077212806026E-2</v>
      </c>
      <c r="O601" s="1">
        <v>0.86</v>
      </c>
      <c r="P601" s="1">
        <f t="shared" si="19"/>
        <v>8.9170182841068771E-2</v>
      </c>
    </row>
    <row r="602" spans="1:16" x14ac:dyDescent="0.45">
      <c r="A602" t="s">
        <v>13</v>
      </c>
      <c r="B602" t="s">
        <v>14</v>
      </c>
      <c r="C602">
        <v>2022</v>
      </c>
      <c r="D602" t="s">
        <v>23</v>
      </c>
      <c r="E602" t="s">
        <v>20</v>
      </c>
      <c r="F602">
        <v>1714</v>
      </c>
      <c r="G602">
        <v>55.67</v>
      </c>
      <c r="H602">
        <v>55.09</v>
      </c>
      <c r="I602">
        <v>42</v>
      </c>
      <c r="J602" t="s">
        <v>17</v>
      </c>
      <c r="K602" s="14">
        <f>COUNTIFS(B:B,"Alpha_Inc",E:E,"Delivered")/COUNTIF(B:B,"Alpha_Inc")</f>
        <v>0.75886524822695034</v>
      </c>
      <c r="L602" s="15">
        <v>94424.26</v>
      </c>
      <c r="M602" s="15">
        <v>994.12</v>
      </c>
      <c r="N602" s="14">
        <f t="shared" si="18"/>
        <v>2.4504084014002333E-2</v>
      </c>
      <c r="O602" s="1">
        <v>0.94</v>
      </c>
      <c r="P602" s="1">
        <f t="shared" si="19"/>
        <v>1.0418537812107028E-2</v>
      </c>
    </row>
    <row r="603" spans="1:16" x14ac:dyDescent="0.45">
      <c r="A603" t="s">
        <v>13</v>
      </c>
      <c r="B603" t="s">
        <v>14</v>
      </c>
      <c r="C603">
        <v>2023</v>
      </c>
      <c r="D603" t="s">
        <v>15</v>
      </c>
      <c r="E603" t="s">
        <v>20</v>
      </c>
      <c r="F603">
        <v>1131</v>
      </c>
      <c r="G603">
        <v>33.35</v>
      </c>
      <c r="H603">
        <v>31.28</v>
      </c>
      <c r="I603">
        <v>23</v>
      </c>
      <c r="J603" t="s">
        <v>17</v>
      </c>
      <c r="K603" s="14">
        <f>COUNTIFS(B:B,"Alpha_Inc",E:E,"Delivered")/COUNTIF(B:B,"Alpha_Inc")</f>
        <v>0.75886524822695034</v>
      </c>
      <c r="L603" s="15">
        <v>35377.68</v>
      </c>
      <c r="M603" s="15">
        <v>2341.17</v>
      </c>
      <c r="N603" s="14">
        <f t="shared" si="18"/>
        <v>2.0335985853227233E-2</v>
      </c>
      <c r="O603" s="1">
        <v>0.94</v>
      </c>
      <c r="P603" s="1">
        <f t="shared" si="19"/>
        <v>6.2068965517241385E-2</v>
      </c>
    </row>
    <row r="604" spans="1:16" x14ac:dyDescent="0.45">
      <c r="A604" t="s">
        <v>13</v>
      </c>
      <c r="B604" t="s">
        <v>14</v>
      </c>
      <c r="C604">
        <v>2023</v>
      </c>
      <c r="D604" t="s">
        <v>15</v>
      </c>
      <c r="E604" t="s">
        <v>20</v>
      </c>
      <c r="F604">
        <v>683</v>
      </c>
      <c r="G604">
        <v>104.82</v>
      </c>
      <c r="H604">
        <v>101.34</v>
      </c>
      <c r="I604">
        <v>24</v>
      </c>
      <c r="J604" t="s">
        <v>17</v>
      </c>
      <c r="K604" s="14">
        <f>COUNTIFS(B:B,"Alpha_Inc",E:E,"Delivered")/COUNTIF(B:B,"Alpha_Inc")</f>
        <v>0.75886524822695034</v>
      </c>
      <c r="L604" s="15">
        <v>69215.22</v>
      </c>
      <c r="M604" s="15">
        <v>2376.84</v>
      </c>
      <c r="N604" s="14">
        <f t="shared" si="18"/>
        <v>3.5139092240117131E-2</v>
      </c>
      <c r="O604" s="1">
        <v>0.94</v>
      </c>
      <c r="P604" s="1">
        <f t="shared" si="19"/>
        <v>3.3199771036061726E-2</v>
      </c>
    </row>
    <row r="605" spans="1:16" x14ac:dyDescent="0.45">
      <c r="A605" t="s">
        <v>21</v>
      </c>
      <c r="B605" t="s">
        <v>22</v>
      </c>
      <c r="C605">
        <v>2023</v>
      </c>
      <c r="D605" t="s">
        <v>26</v>
      </c>
      <c r="E605" t="s">
        <v>31</v>
      </c>
      <c r="F605">
        <v>562</v>
      </c>
      <c r="G605">
        <v>102.56</v>
      </c>
      <c r="H605">
        <v>90.88</v>
      </c>
      <c r="I605">
        <v>38</v>
      </c>
      <c r="J605" t="s">
        <v>17</v>
      </c>
      <c r="K605" s="14">
        <f>COUNTIFS(B:B,"Gamma_Co",E:E,"Partially Delivered") / COUNTIF(B:B,"Gamma_Co")</f>
        <v>0.12587412587412589</v>
      </c>
      <c r="L605" s="15">
        <v>51074.559999999998</v>
      </c>
      <c r="M605" s="15">
        <v>6564.16</v>
      </c>
      <c r="N605" s="14">
        <f t="shared" si="18"/>
        <v>6.7615658362989328E-2</v>
      </c>
      <c r="O605" s="1">
        <v>0.86</v>
      </c>
      <c r="P605" s="1">
        <f t="shared" si="19"/>
        <v>0.11388455538221536</v>
      </c>
    </row>
    <row r="606" spans="1:16" x14ac:dyDescent="0.45">
      <c r="A606" t="s">
        <v>13</v>
      </c>
      <c r="B606" t="s">
        <v>14</v>
      </c>
      <c r="C606">
        <v>2023</v>
      </c>
      <c r="D606" t="s">
        <v>33</v>
      </c>
      <c r="E606" t="s">
        <v>20</v>
      </c>
      <c r="F606">
        <v>1824</v>
      </c>
      <c r="G606">
        <v>14.43</v>
      </c>
      <c r="H606">
        <v>14.11</v>
      </c>
      <c r="I606">
        <v>36</v>
      </c>
      <c r="J606" t="s">
        <v>17</v>
      </c>
      <c r="K606" s="14">
        <f>COUNTIFS(B:B,"Alpha_Inc",E:E,"Delivered")/COUNTIF(B:B,"Alpha_Inc")</f>
        <v>0.75886524822695034</v>
      </c>
      <c r="L606" s="15">
        <v>25736.639999999999</v>
      </c>
      <c r="M606" s="15">
        <v>583.67999999999995</v>
      </c>
      <c r="N606" s="14">
        <f t="shared" si="18"/>
        <v>1.9736842105263157E-2</v>
      </c>
      <c r="O606" s="1">
        <v>0.94</v>
      </c>
      <c r="P606" s="1">
        <f t="shared" si="19"/>
        <v>2.2176022176022197E-2</v>
      </c>
    </row>
    <row r="607" spans="1:16" x14ac:dyDescent="0.45">
      <c r="A607" t="s">
        <v>24</v>
      </c>
      <c r="B607" t="s">
        <v>25</v>
      </c>
      <c r="C607">
        <v>2022</v>
      </c>
      <c r="D607" t="s">
        <v>33</v>
      </c>
      <c r="E607" t="s">
        <v>31</v>
      </c>
      <c r="F607">
        <v>851</v>
      </c>
      <c r="G607">
        <v>76.44</v>
      </c>
      <c r="H607">
        <v>74.760000000000005</v>
      </c>
      <c r="I607">
        <v>91</v>
      </c>
      <c r="J607" t="s">
        <v>17</v>
      </c>
      <c r="K607" s="14">
        <f>COUNTIFS(B:B,"Beta_Supplies",E:E,"Partially Delivered") / COUNTIF(B:B,"Beta_Supplies")</f>
        <v>8.3333333333333329E-2</v>
      </c>
      <c r="L607" s="15">
        <v>63620.76</v>
      </c>
      <c r="M607" s="15">
        <v>1429.68</v>
      </c>
      <c r="N607" s="14">
        <f t="shared" si="18"/>
        <v>0.10693301997649823</v>
      </c>
      <c r="O607" s="1">
        <v>0.76</v>
      </c>
      <c r="P607" s="1">
        <f t="shared" si="19"/>
        <v>2.1978021978021883E-2</v>
      </c>
    </row>
    <row r="608" spans="1:16" x14ac:dyDescent="0.45">
      <c r="A608" t="s">
        <v>24</v>
      </c>
      <c r="B608" t="s">
        <v>25</v>
      </c>
      <c r="C608">
        <v>2022</v>
      </c>
      <c r="D608" t="s">
        <v>15</v>
      </c>
      <c r="E608" t="s">
        <v>20</v>
      </c>
      <c r="F608">
        <v>1169</v>
      </c>
      <c r="G608">
        <v>95.6</v>
      </c>
      <c r="H608">
        <v>82.16</v>
      </c>
      <c r="I608">
        <v>103</v>
      </c>
      <c r="J608" t="s">
        <v>17</v>
      </c>
      <c r="K608" s="14">
        <f>COUNTIFS(B:B,"Beta_Supplies",E:E,"Delivered") / COUNTIF(B:B,"Beta_Supplies")</f>
        <v>0.70512820512820518</v>
      </c>
      <c r="L608" s="15">
        <v>96045.04</v>
      </c>
      <c r="M608" s="15">
        <v>15711.36</v>
      </c>
      <c r="N608" s="14">
        <f t="shared" si="18"/>
        <v>8.8109495295124032E-2</v>
      </c>
      <c r="O608" s="1">
        <v>0.76</v>
      </c>
      <c r="P608" s="1">
        <f t="shared" si="19"/>
        <v>0.14058577405857739</v>
      </c>
    </row>
    <row r="609" spans="1:16" x14ac:dyDescent="0.45">
      <c r="A609" t="s">
        <v>29</v>
      </c>
      <c r="B609" t="s">
        <v>30</v>
      </c>
      <c r="C609">
        <v>2023</v>
      </c>
      <c r="D609" t="s">
        <v>23</v>
      </c>
      <c r="E609" t="s">
        <v>20</v>
      </c>
      <c r="F609">
        <v>1711</v>
      </c>
      <c r="G609">
        <v>29.14</v>
      </c>
      <c r="H609">
        <v>26.35</v>
      </c>
      <c r="I609">
        <v>48</v>
      </c>
      <c r="J609" t="s">
        <v>17</v>
      </c>
      <c r="K609" s="14">
        <f>COUNTIFS(B:B,"Epsilon_Group",E:E,"Delivered") / COUNTIF(B:B,"Epsilon_Group")</f>
        <v>0.72289156626506024</v>
      </c>
      <c r="L609" s="15">
        <v>45084.85</v>
      </c>
      <c r="M609" s="15">
        <v>4773.6899999999996</v>
      </c>
      <c r="N609" s="14">
        <f t="shared" si="18"/>
        <v>2.8053769725306838E-2</v>
      </c>
      <c r="O609" s="1">
        <v>0.98</v>
      </c>
      <c r="P609" s="1">
        <f t="shared" si="19"/>
        <v>9.5744680851063801E-2</v>
      </c>
    </row>
    <row r="610" spans="1:16" x14ac:dyDescent="0.45">
      <c r="A610" t="s">
        <v>24</v>
      </c>
      <c r="B610" t="s">
        <v>25</v>
      </c>
      <c r="C610">
        <v>2023</v>
      </c>
      <c r="D610" t="s">
        <v>26</v>
      </c>
      <c r="E610" t="s">
        <v>32</v>
      </c>
      <c r="F610">
        <v>1191</v>
      </c>
      <c r="G610">
        <v>68.14</v>
      </c>
      <c r="H610">
        <v>61.71</v>
      </c>
      <c r="I610">
        <v>112</v>
      </c>
      <c r="J610" t="s">
        <v>17</v>
      </c>
      <c r="K610" s="14">
        <f>COUNTIFS(B:B,"Beta_Supplies",E:E,"Pending") / COUNTIF(B:B,"Beta_Supplies")</f>
        <v>0.12179487179487179</v>
      </c>
      <c r="L610" s="15">
        <v>73496.61</v>
      </c>
      <c r="M610" s="15">
        <v>7658.13</v>
      </c>
      <c r="N610" s="14">
        <f t="shared" si="18"/>
        <v>9.4038623005877411E-2</v>
      </c>
      <c r="O610" s="1">
        <v>0.76</v>
      </c>
      <c r="P610" s="1">
        <f t="shared" si="19"/>
        <v>9.4364543586733185E-2</v>
      </c>
    </row>
    <row r="611" spans="1:16" x14ac:dyDescent="0.45">
      <c r="A611" t="s">
        <v>29</v>
      </c>
      <c r="B611" t="s">
        <v>30</v>
      </c>
      <c r="C611">
        <v>2022</v>
      </c>
      <c r="D611" t="s">
        <v>33</v>
      </c>
      <c r="E611" t="s">
        <v>20</v>
      </c>
      <c r="F611">
        <v>609</v>
      </c>
      <c r="G611">
        <v>92.39</v>
      </c>
      <c r="H611">
        <v>82.75</v>
      </c>
      <c r="I611">
        <v>29</v>
      </c>
      <c r="J611" t="s">
        <v>17</v>
      </c>
      <c r="K611" s="14">
        <f>COUNTIFS(B:B,"Epsilon_Group",E:E,"Delivered") / COUNTIF(B:B,"Epsilon_Group")</f>
        <v>0.72289156626506024</v>
      </c>
      <c r="L611" s="15">
        <v>50394.75</v>
      </c>
      <c r="M611" s="15">
        <v>5870.76</v>
      </c>
      <c r="N611" s="14">
        <f t="shared" si="18"/>
        <v>4.7619047619047616E-2</v>
      </c>
      <c r="O611" s="1">
        <v>0.98</v>
      </c>
      <c r="P611" s="1">
        <f t="shared" si="19"/>
        <v>0.10434029656889274</v>
      </c>
    </row>
    <row r="612" spans="1:16" x14ac:dyDescent="0.45">
      <c r="A612" t="s">
        <v>24</v>
      </c>
      <c r="B612" t="s">
        <v>25</v>
      </c>
      <c r="C612">
        <v>2022</v>
      </c>
      <c r="D612" t="s">
        <v>15</v>
      </c>
      <c r="E612" t="s">
        <v>20</v>
      </c>
      <c r="F612">
        <v>1674</v>
      </c>
      <c r="G612">
        <v>13.25</v>
      </c>
      <c r="H612">
        <v>11.77</v>
      </c>
      <c r="I612">
        <v>181</v>
      </c>
      <c r="J612" t="s">
        <v>17</v>
      </c>
      <c r="K612" s="14">
        <f>COUNTIFS(B:B,"Beta_Supplies",E:E,"Delivered") / COUNTIF(B:B,"Beta_Supplies")</f>
        <v>0.70512820512820518</v>
      </c>
      <c r="L612" s="15">
        <v>19702.98</v>
      </c>
      <c r="M612" s="15">
        <v>2477.52</v>
      </c>
      <c r="N612" s="14">
        <f t="shared" si="18"/>
        <v>0.10812425328554361</v>
      </c>
      <c r="O612" s="1">
        <v>0.76</v>
      </c>
      <c r="P612" s="1">
        <f t="shared" si="19"/>
        <v>0.1116981132075472</v>
      </c>
    </row>
    <row r="613" spans="1:16" x14ac:dyDescent="0.45">
      <c r="A613" t="s">
        <v>21</v>
      </c>
      <c r="B613" t="s">
        <v>22</v>
      </c>
      <c r="C613">
        <v>2023</v>
      </c>
      <c r="D613" t="s">
        <v>23</v>
      </c>
      <c r="E613" t="s">
        <v>20</v>
      </c>
      <c r="F613">
        <v>537</v>
      </c>
      <c r="G613">
        <v>77.86</v>
      </c>
      <c r="H613">
        <v>71.180000000000007</v>
      </c>
      <c r="I613">
        <v>20</v>
      </c>
      <c r="J613" t="s">
        <v>17</v>
      </c>
      <c r="K613" s="14">
        <f>COUNTIFS(B:B,"Gamma_Co",E:E,"Delivered") / COUNTIF(B:B,"Gamma_Co")</f>
        <v>0.72027972027972031</v>
      </c>
      <c r="L613" s="15">
        <v>38223.660000000003</v>
      </c>
      <c r="M613" s="15">
        <v>3587.16</v>
      </c>
      <c r="N613" s="14">
        <f t="shared" si="18"/>
        <v>3.7243947858473E-2</v>
      </c>
      <c r="O613" s="1">
        <v>0.86</v>
      </c>
      <c r="P613" s="1">
        <f t="shared" si="19"/>
        <v>8.579501669663489E-2</v>
      </c>
    </row>
    <row r="614" spans="1:16" x14ac:dyDescent="0.45">
      <c r="A614" t="s">
        <v>29</v>
      </c>
      <c r="B614" t="s">
        <v>30</v>
      </c>
      <c r="C614">
        <v>2022</v>
      </c>
      <c r="D614" t="s">
        <v>33</v>
      </c>
      <c r="E614" t="s">
        <v>20</v>
      </c>
      <c r="F614">
        <v>1310</v>
      </c>
      <c r="G614">
        <v>38.049999999999997</v>
      </c>
      <c r="H614">
        <v>37</v>
      </c>
      <c r="I614">
        <v>45</v>
      </c>
      <c r="J614" t="s">
        <v>17</v>
      </c>
      <c r="K614" s="14">
        <f>COUNTIFS(B:B,"Epsilon_Group",E:E,"Delivered") / COUNTIF(B:B,"Epsilon_Group")</f>
        <v>0.72289156626506024</v>
      </c>
      <c r="L614" s="15">
        <v>48470</v>
      </c>
      <c r="M614" s="15">
        <v>1375.5</v>
      </c>
      <c r="N614" s="14">
        <f t="shared" si="18"/>
        <v>3.4351145038167941E-2</v>
      </c>
      <c r="O614" s="1">
        <v>0.98</v>
      </c>
      <c r="P614" s="1">
        <f t="shared" si="19"/>
        <v>2.7595269382391516E-2</v>
      </c>
    </row>
    <row r="615" spans="1:16" x14ac:dyDescent="0.45">
      <c r="A615" t="s">
        <v>18</v>
      </c>
      <c r="B615" t="s">
        <v>19</v>
      </c>
      <c r="C615">
        <v>2022</v>
      </c>
      <c r="D615" t="s">
        <v>27</v>
      </c>
      <c r="E615" t="s">
        <v>20</v>
      </c>
      <c r="F615">
        <v>1958</v>
      </c>
      <c r="G615">
        <v>95.53</v>
      </c>
      <c r="H615">
        <v>91.72</v>
      </c>
      <c r="I615">
        <v>308</v>
      </c>
      <c r="J615" t="s">
        <v>17</v>
      </c>
      <c r="K615" s="14">
        <f>COUNTIFS(B:B,"Delta_Logistics",E:E,"Delivered") / COUNTIF(B:B,"Delta_Logistics")</f>
        <v>0.70175438596491224</v>
      </c>
      <c r="L615" s="15">
        <v>179587.76</v>
      </c>
      <c r="M615" s="15">
        <v>7459.98</v>
      </c>
      <c r="N615" s="14">
        <f t="shared" si="18"/>
        <v>0.15730337078651685</v>
      </c>
      <c r="O615" s="1">
        <v>0.61</v>
      </c>
      <c r="P615" s="1">
        <f t="shared" si="19"/>
        <v>3.9882759342614905E-2</v>
      </c>
    </row>
    <row r="616" spans="1:16" x14ac:dyDescent="0.45">
      <c r="A616" t="s">
        <v>18</v>
      </c>
      <c r="B616" t="s">
        <v>19</v>
      </c>
      <c r="C616">
        <v>2023</v>
      </c>
      <c r="D616" t="s">
        <v>15</v>
      </c>
      <c r="E616" t="s">
        <v>20</v>
      </c>
      <c r="F616">
        <v>946</v>
      </c>
      <c r="G616">
        <v>108.6</v>
      </c>
      <c r="H616">
        <v>101.78</v>
      </c>
      <c r="I616">
        <v>146</v>
      </c>
      <c r="J616" t="s">
        <v>17</v>
      </c>
      <c r="K616" s="14">
        <f>COUNTIFS(B:B,"Delta_Logistics",E:E,"Delivered") / COUNTIF(B:B,"Delta_Logistics")</f>
        <v>0.70175438596491224</v>
      </c>
      <c r="L616" s="15">
        <v>96283.88</v>
      </c>
      <c r="M616" s="15">
        <v>6451.72</v>
      </c>
      <c r="N616" s="14">
        <f t="shared" si="18"/>
        <v>0.15433403805496829</v>
      </c>
      <c r="O616" s="1">
        <v>0.61</v>
      </c>
      <c r="P616" s="1">
        <f t="shared" si="19"/>
        <v>6.2799263351749485E-2</v>
      </c>
    </row>
    <row r="617" spans="1:16" x14ac:dyDescent="0.45">
      <c r="A617" t="s">
        <v>24</v>
      </c>
      <c r="B617" t="s">
        <v>25</v>
      </c>
      <c r="C617">
        <v>2023</v>
      </c>
      <c r="D617" t="s">
        <v>26</v>
      </c>
      <c r="E617" t="s">
        <v>31</v>
      </c>
      <c r="F617">
        <v>1345</v>
      </c>
      <c r="G617">
        <v>103.06</v>
      </c>
      <c r="H617">
        <v>95.14</v>
      </c>
      <c r="I617">
        <v>105</v>
      </c>
      <c r="J617" t="s">
        <v>17</v>
      </c>
      <c r="K617" s="14">
        <f>COUNTIFS(B:B,"Beta_Supplies",E:E,"Partially Delivered") / COUNTIF(B:B,"Beta_Supplies")</f>
        <v>8.3333333333333329E-2</v>
      </c>
      <c r="L617" s="15">
        <v>127963.3</v>
      </c>
      <c r="M617" s="15">
        <v>10652.4</v>
      </c>
      <c r="N617" s="14">
        <f t="shared" si="18"/>
        <v>7.8066914498141265E-2</v>
      </c>
      <c r="O617" s="1">
        <v>0.76</v>
      </c>
      <c r="P617" s="1">
        <f t="shared" si="19"/>
        <v>7.6848437803221439E-2</v>
      </c>
    </row>
    <row r="618" spans="1:16" x14ac:dyDescent="0.45">
      <c r="A618" t="s">
        <v>18</v>
      </c>
      <c r="B618" t="s">
        <v>19</v>
      </c>
      <c r="C618">
        <v>2023</v>
      </c>
      <c r="D618" t="s">
        <v>23</v>
      </c>
      <c r="E618" t="s">
        <v>20</v>
      </c>
      <c r="F618">
        <v>1262</v>
      </c>
      <c r="G618">
        <v>56.63</v>
      </c>
      <c r="H618">
        <v>51.46</v>
      </c>
      <c r="I618">
        <v>155</v>
      </c>
      <c r="J618" t="s">
        <v>28</v>
      </c>
      <c r="K618" s="14">
        <f>COUNTIFS(B:B,"Delta_Logistics",E:E,"Delivered") / COUNTIF(B:B,"Delta_Logistics")</f>
        <v>0.70175438596491224</v>
      </c>
      <c r="L618" s="15">
        <v>64942.52</v>
      </c>
      <c r="M618" s="15">
        <v>6524.54</v>
      </c>
      <c r="N618" s="14">
        <f t="shared" si="18"/>
        <v>0.12282091917591126</v>
      </c>
      <c r="O618" s="1">
        <v>0.39</v>
      </c>
      <c r="P618" s="1">
        <f t="shared" si="19"/>
        <v>9.1294366943316288E-2</v>
      </c>
    </row>
    <row r="619" spans="1:16" x14ac:dyDescent="0.45">
      <c r="A619" t="s">
        <v>24</v>
      </c>
      <c r="B619" t="s">
        <v>25</v>
      </c>
      <c r="C619">
        <v>2022</v>
      </c>
      <c r="D619" t="s">
        <v>15</v>
      </c>
      <c r="E619" t="s">
        <v>32</v>
      </c>
      <c r="F619">
        <v>753</v>
      </c>
      <c r="G619">
        <v>88.02</v>
      </c>
      <c r="H619">
        <v>79.92</v>
      </c>
      <c r="I619">
        <v>75</v>
      </c>
      <c r="J619" t="s">
        <v>17</v>
      </c>
      <c r="K619" s="14">
        <f>COUNTIFS(B:B,"Beta_Supplies",E:E,"Pending") / COUNTIF(B:B,"Beta_Supplies")</f>
        <v>0.12179487179487179</v>
      </c>
      <c r="L619" s="15">
        <v>60179.76</v>
      </c>
      <c r="M619" s="15">
        <v>6099.3</v>
      </c>
      <c r="N619" s="14">
        <f t="shared" si="18"/>
        <v>9.9601593625498003E-2</v>
      </c>
      <c r="O619" s="1">
        <v>0.76</v>
      </c>
      <c r="P619" s="1">
        <f t="shared" si="19"/>
        <v>9.2024539877300554E-2</v>
      </c>
    </row>
    <row r="620" spans="1:16" x14ac:dyDescent="0.45">
      <c r="A620" t="s">
        <v>24</v>
      </c>
      <c r="B620" t="s">
        <v>25</v>
      </c>
      <c r="C620">
        <v>2023</v>
      </c>
      <c r="D620" t="s">
        <v>33</v>
      </c>
      <c r="E620" t="s">
        <v>20</v>
      </c>
      <c r="F620">
        <v>1520</v>
      </c>
      <c r="G620">
        <v>93.75</v>
      </c>
      <c r="H620">
        <v>81.63</v>
      </c>
      <c r="I620">
        <v>149</v>
      </c>
      <c r="J620" t="s">
        <v>17</v>
      </c>
      <c r="K620" s="14">
        <f>COUNTIFS(B:B,"Beta_Supplies",E:E,"Delivered") / COUNTIF(B:B,"Beta_Supplies")</f>
        <v>0.70512820512820518</v>
      </c>
      <c r="L620" s="15">
        <v>124077.6</v>
      </c>
      <c r="M620" s="15">
        <v>18422.400000000001</v>
      </c>
      <c r="N620" s="14">
        <f t="shared" si="18"/>
        <v>9.8026315789473684E-2</v>
      </c>
      <c r="O620" s="1">
        <v>0.76</v>
      </c>
      <c r="P620" s="1">
        <f t="shared" si="19"/>
        <v>0.12928000000000006</v>
      </c>
    </row>
    <row r="621" spans="1:16" x14ac:dyDescent="0.45">
      <c r="A621" t="s">
        <v>18</v>
      </c>
      <c r="B621" t="s">
        <v>19</v>
      </c>
      <c r="C621">
        <v>2022</v>
      </c>
      <c r="D621" t="s">
        <v>15</v>
      </c>
      <c r="E621" t="s">
        <v>20</v>
      </c>
      <c r="F621">
        <v>630</v>
      </c>
      <c r="G621">
        <v>40.270000000000003</v>
      </c>
      <c r="H621">
        <v>37.54</v>
      </c>
      <c r="I621">
        <v>76</v>
      </c>
      <c r="J621" t="s">
        <v>17</v>
      </c>
      <c r="K621" s="14">
        <f>COUNTIFS(B:B,"Delta_Logistics",E:E,"Delivered") / COUNTIF(B:B,"Delta_Logistics")</f>
        <v>0.70175438596491224</v>
      </c>
      <c r="L621" s="15">
        <v>23650.2</v>
      </c>
      <c r="M621" s="15">
        <v>1719.9</v>
      </c>
      <c r="N621" s="14">
        <f t="shared" si="18"/>
        <v>0.12063492063492064</v>
      </c>
      <c r="O621" s="1">
        <v>0.61</v>
      </c>
      <c r="P621" s="1">
        <f t="shared" si="19"/>
        <v>6.779240129128393E-2</v>
      </c>
    </row>
    <row r="622" spans="1:16" x14ac:dyDescent="0.45">
      <c r="A622" t="s">
        <v>18</v>
      </c>
      <c r="B622" t="s">
        <v>19</v>
      </c>
      <c r="C622">
        <v>2022</v>
      </c>
      <c r="D622" t="s">
        <v>15</v>
      </c>
      <c r="E622" t="s">
        <v>20</v>
      </c>
      <c r="F622">
        <v>839</v>
      </c>
      <c r="G622">
        <v>86.29</v>
      </c>
      <c r="H622">
        <v>82.51</v>
      </c>
      <c r="I622">
        <v>110</v>
      </c>
      <c r="J622" t="s">
        <v>17</v>
      </c>
      <c r="K622" s="14">
        <f>COUNTIFS(B:B,"Delta_Logistics",E:E,"Delivered") / COUNTIF(B:B,"Delta_Logistics")</f>
        <v>0.70175438596491224</v>
      </c>
      <c r="L622" s="15">
        <v>69225.89</v>
      </c>
      <c r="M622" s="15">
        <v>3171.42</v>
      </c>
      <c r="N622" s="14">
        <f t="shared" si="18"/>
        <v>0.13110846245530394</v>
      </c>
      <c r="O622" s="1">
        <v>0.61</v>
      </c>
      <c r="P622" s="1">
        <f t="shared" si="19"/>
        <v>4.3805771236527999E-2</v>
      </c>
    </row>
    <row r="623" spans="1:16" x14ac:dyDescent="0.45">
      <c r="A623" t="s">
        <v>13</v>
      </c>
      <c r="B623" t="s">
        <v>14</v>
      </c>
      <c r="C623">
        <v>2023</v>
      </c>
      <c r="D623" t="s">
        <v>33</v>
      </c>
      <c r="E623" t="s">
        <v>20</v>
      </c>
      <c r="F623">
        <v>910</v>
      </c>
      <c r="G623">
        <v>14.33</v>
      </c>
      <c r="H623">
        <v>14.07</v>
      </c>
      <c r="I623">
        <v>27</v>
      </c>
      <c r="J623" t="s">
        <v>17</v>
      </c>
      <c r="K623" s="14">
        <f>COUNTIFS(B:B,"Alpha_Inc",E:E,"Delivered")/COUNTIF(B:B,"Alpha_Inc")</f>
        <v>0.75886524822695034</v>
      </c>
      <c r="L623" s="15">
        <v>12803.7</v>
      </c>
      <c r="M623" s="15">
        <v>236.6</v>
      </c>
      <c r="N623" s="14">
        <f t="shared" si="18"/>
        <v>2.9670329670329669E-2</v>
      </c>
      <c r="O623" s="1">
        <v>0.94</v>
      </c>
      <c r="P623" s="1">
        <f t="shared" si="19"/>
        <v>1.81437543614794E-2</v>
      </c>
    </row>
    <row r="624" spans="1:16" x14ac:dyDescent="0.45">
      <c r="A624" t="s">
        <v>29</v>
      </c>
      <c r="B624" t="s">
        <v>30</v>
      </c>
      <c r="C624">
        <v>2022</v>
      </c>
      <c r="D624" t="s">
        <v>27</v>
      </c>
      <c r="E624" t="s">
        <v>20</v>
      </c>
      <c r="F624">
        <v>296</v>
      </c>
      <c r="G624">
        <v>64.94</v>
      </c>
      <c r="H624">
        <v>63.61</v>
      </c>
      <c r="I624">
        <v>33</v>
      </c>
      <c r="J624" t="s">
        <v>17</v>
      </c>
      <c r="K624" s="14">
        <f>COUNTIFS(B:B,"Epsilon_Group",E:E,"Delivered") / COUNTIF(B:B,"Epsilon_Group")</f>
        <v>0.72289156626506024</v>
      </c>
      <c r="L624" s="15">
        <v>18828.560000000001</v>
      </c>
      <c r="M624" s="15">
        <v>393.68</v>
      </c>
      <c r="N624" s="14">
        <f t="shared" si="18"/>
        <v>0.11148648648648649</v>
      </c>
      <c r="O624" s="1">
        <v>0.98</v>
      </c>
      <c r="P624" s="1">
        <f t="shared" si="19"/>
        <v>2.0480443486295016E-2</v>
      </c>
    </row>
    <row r="625" spans="1:16" x14ac:dyDescent="0.45">
      <c r="A625" t="s">
        <v>24</v>
      </c>
      <c r="B625" t="s">
        <v>25</v>
      </c>
      <c r="C625">
        <v>2023</v>
      </c>
      <c r="D625" t="s">
        <v>23</v>
      </c>
      <c r="E625" t="s">
        <v>20</v>
      </c>
      <c r="F625">
        <v>1149</v>
      </c>
      <c r="G625">
        <v>33</v>
      </c>
      <c r="H625">
        <v>30.65</v>
      </c>
      <c r="I625">
        <v>141</v>
      </c>
      <c r="J625" t="s">
        <v>17</v>
      </c>
      <c r="K625" s="14">
        <f>COUNTIFS(B:B,"Beta_Supplies",E:E,"Delivered") / COUNTIF(B:B,"Beta_Supplies")</f>
        <v>0.70512820512820518</v>
      </c>
      <c r="L625" s="15">
        <v>35216.85</v>
      </c>
      <c r="M625" s="15">
        <v>2700.15</v>
      </c>
      <c r="N625" s="14">
        <f t="shared" si="18"/>
        <v>0.12271540469973891</v>
      </c>
      <c r="O625" s="1">
        <v>0.76</v>
      </c>
      <c r="P625" s="1">
        <f t="shared" si="19"/>
        <v>7.1212121212121254E-2</v>
      </c>
    </row>
    <row r="626" spans="1:16" x14ac:dyDescent="0.45">
      <c r="A626" t="s">
        <v>18</v>
      </c>
      <c r="B626" t="s">
        <v>19</v>
      </c>
      <c r="C626">
        <v>2023</v>
      </c>
      <c r="D626" t="s">
        <v>33</v>
      </c>
      <c r="E626" t="s">
        <v>20</v>
      </c>
      <c r="F626">
        <v>203</v>
      </c>
      <c r="G626">
        <v>23.14</v>
      </c>
      <c r="H626">
        <v>20</v>
      </c>
      <c r="I626">
        <v>155</v>
      </c>
      <c r="J626" t="s">
        <v>28</v>
      </c>
      <c r="K626" s="14">
        <f>COUNTIFS(B:B,"Delta_Logistics",E:E,"Delivered") / COUNTIF(B:B,"Delta_Logistics")</f>
        <v>0.70175438596491224</v>
      </c>
      <c r="L626" s="15">
        <v>4060</v>
      </c>
      <c r="M626" s="15">
        <v>637.41999999999996</v>
      </c>
      <c r="N626" s="14">
        <f t="shared" si="18"/>
        <v>0.76354679802955661</v>
      </c>
      <c r="O626" s="1">
        <v>0.39</v>
      </c>
      <c r="P626" s="1">
        <f t="shared" si="19"/>
        <v>0.13569576490924809</v>
      </c>
    </row>
    <row r="627" spans="1:16" x14ac:dyDescent="0.45">
      <c r="A627" t="s">
        <v>29</v>
      </c>
      <c r="B627" t="s">
        <v>30</v>
      </c>
      <c r="C627">
        <v>2023</v>
      </c>
      <c r="D627" t="s">
        <v>15</v>
      </c>
      <c r="E627" t="s">
        <v>20</v>
      </c>
      <c r="F627">
        <v>1729</v>
      </c>
      <c r="G627">
        <v>18.36</v>
      </c>
      <c r="H627">
        <v>16.34</v>
      </c>
      <c r="I627">
        <v>47</v>
      </c>
      <c r="J627" t="s">
        <v>17</v>
      </c>
      <c r="K627" s="14">
        <f>COUNTIFS(B:B,"Epsilon_Group",E:E,"Delivered") / COUNTIF(B:B,"Epsilon_Group")</f>
        <v>0.72289156626506024</v>
      </c>
      <c r="L627" s="15">
        <v>28251.86</v>
      </c>
      <c r="M627" s="15">
        <v>3492.58</v>
      </c>
      <c r="N627" s="14">
        <f t="shared" si="18"/>
        <v>2.7183342972816656E-2</v>
      </c>
      <c r="O627" s="1">
        <v>0.98</v>
      </c>
      <c r="P627" s="1">
        <f t="shared" si="19"/>
        <v>0.11002178649237471</v>
      </c>
    </row>
    <row r="628" spans="1:16" x14ac:dyDescent="0.45">
      <c r="A628" t="s">
        <v>18</v>
      </c>
      <c r="B628" t="s">
        <v>19</v>
      </c>
      <c r="C628">
        <v>2023</v>
      </c>
      <c r="D628" t="s">
        <v>15</v>
      </c>
      <c r="E628" t="s">
        <v>20</v>
      </c>
      <c r="F628">
        <v>1508</v>
      </c>
      <c r="G628">
        <v>79.209999999999994</v>
      </c>
      <c r="H628">
        <v>73.27</v>
      </c>
      <c r="I628">
        <v>226</v>
      </c>
      <c r="J628" t="s">
        <v>17</v>
      </c>
      <c r="K628" s="14">
        <f>COUNTIFS(B:B,"Delta_Logistics",E:E,"Delivered") / COUNTIF(B:B,"Delta_Logistics")</f>
        <v>0.70175438596491224</v>
      </c>
      <c r="L628" s="15">
        <v>110491.16</v>
      </c>
      <c r="M628" s="15">
        <v>8957.52</v>
      </c>
      <c r="N628" s="14">
        <f t="shared" si="18"/>
        <v>0.14986737400530503</v>
      </c>
      <c r="O628" s="1">
        <v>0.61</v>
      </c>
      <c r="P628" s="1">
        <f t="shared" si="19"/>
        <v>7.4990531498548146E-2</v>
      </c>
    </row>
    <row r="629" spans="1:16" x14ac:dyDescent="0.45">
      <c r="A629" t="s">
        <v>18</v>
      </c>
      <c r="B629" t="s">
        <v>19</v>
      </c>
      <c r="C629">
        <v>2023</v>
      </c>
      <c r="D629" t="s">
        <v>26</v>
      </c>
      <c r="E629" t="s">
        <v>31</v>
      </c>
      <c r="F629">
        <v>1046</v>
      </c>
      <c r="G629">
        <v>44.65</v>
      </c>
      <c r="H629">
        <v>40.1</v>
      </c>
      <c r="I629">
        <v>165</v>
      </c>
      <c r="J629" t="s">
        <v>28</v>
      </c>
      <c r="K629" s="14">
        <f>COUNTIFS(B:B,"Delta_Logistics",E:E,"Partially Delivered") / COUNTIF(B:B,"Delta_Logistics")</f>
        <v>0.10526315789473684</v>
      </c>
      <c r="L629" s="15">
        <v>41944.6</v>
      </c>
      <c r="M629" s="15">
        <v>4759.3</v>
      </c>
      <c r="N629" s="14">
        <f t="shared" si="18"/>
        <v>0.15774378585086041</v>
      </c>
      <c r="O629" s="1">
        <v>0.39</v>
      </c>
      <c r="P629" s="1">
        <f t="shared" si="19"/>
        <v>0.10190369540873455</v>
      </c>
    </row>
    <row r="630" spans="1:16" x14ac:dyDescent="0.45">
      <c r="A630" t="s">
        <v>13</v>
      </c>
      <c r="B630" t="s">
        <v>14</v>
      </c>
      <c r="C630">
        <v>2022</v>
      </c>
      <c r="D630" t="s">
        <v>15</v>
      </c>
      <c r="E630" t="s">
        <v>20</v>
      </c>
      <c r="F630">
        <v>1159</v>
      </c>
      <c r="G630">
        <v>78.989999999999995</v>
      </c>
      <c r="H630">
        <v>71.69</v>
      </c>
      <c r="I630">
        <v>14</v>
      </c>
      <c r="J630" t="s">
        <v>17</v>
      </c>
      <c r="K630" s="14">
        <f>COUNTIFS(B:B,"Alpha_Inc",E:E,"Delivered")/COUNTIF(B:B,"Alpha_Inc")</f>
        <v>0.75886524822695034</v>
      </c>
      <c r="L630" s="15">
        <v>83088.710000000006</v>
      </c>
      <c r="M630" s="15">
        <v>8460.7000000000007</v>
      </c>
      <c r="N630" s="14">
        <f t="shared" si="18"/>
        <v>1.2079378774805867E-2</v>
      </c>
      <c r="O630" s="1">
        <v>0.94</v>
      </c>
      <c r="P630" s="1">
        <f t="shared" si="19"/>
        <v>9.2416761615394319E-2</v>
      </c>
    </row>
    <row r="631" spans="1:16" x14ac:dyDescent="0.45">
      <c r="A631" t="s">
        <v>24</v>
      </c>
      <c r="B631" t="s">
        <v>25</v>
      </c>
      <c r="C631">
        <v>2023</v>
      </c>
      <c r="D631" t="s">
        <v>33</v>
      </c>
      <c r="E631" t="s">
        <v>20</v>
      </c>
      <c r="F631">
        <v>746</v>
      </c>
      <c r="G631">
        <v>16.989999999999998</v>
      </c>
      <c r="H631">
        <v>15.35</v>
      </c>
      <c r="I631">
        <v>69</v>
      </c>
      <c r="J631" t="s">
        <v>28</v>
      </c>
      <c r="K631" s="14">
        <f>COUNTIFS(B:B,"Beta_Supplies",E:E,"Delivered") / COUNTIF(B:B,"Beta_Supplies")</f>
        <v>0.70512820512820518</v>
      </c>
      <c r="L631" s="15">
        <v>11451.1</v>
      </c>
      <c r="M631" s="15">
        <v>1223.44</v>
      </c>
      <c r="N631" s="14">
        <f t="shared" si="18"/>
        <v>9.2493297587131373E-2</v>
      </c>
      <c r="O631" s="1">
        <v>0.24</v>
      </c>
      <c r="P631" s="1">
        <f t="shared" si="19"/>
        <v>9.6527369040612057E-2</v>
      </c>
    </row>
    <row r="632" spans="1:16" x14ac:dyDescent="0.45">
      <c r="A632" t="s">
        <v>24</v>
      </c>
      <c r="B632" t="s">
        <v>25</v>
      </c>
      <c r="C632">
        <v>2023</v>
      </c>
      <c r="D632" t="s">
        <v>26</v>
      </c>
      <c r="E632" t="s">
        <v>20</v>
      </c>
      <c r="F632">
        <v>1358</v>
      </c>
      <c r="G632">
        <v>42.21</v>
      </c>
      <c r="H632">
        <v>38.75</v>
      </c>
      <c r="I632">
        <v>128</v>
      </c>
      <c r="J632" t="s">
        <v>17</v>
      </c>
      <c r="K632" s="14">
        <f>COUNTIFS(B:B,"Beta_Supplies",E:E,"Delivered") / COUNTIF(B:B,"Beta_Supplies")</f>
        <v>0.70512820512820518</v>
      </c>
      <c r="L632" s="15">
        <v>52622.5</v>
      </c>
      <c r="M632" s="15">
        <v>4698.68</v>
      </c>
      <c r="N632" s="14">
        <f t="shared" si="18"/>
        <v>9.4256259204712811E-2</v>
      </c>
      <c r="O632" s="1">
        <v>0.76</v>
      </c>
      <c r="P632" s="1">
        <f t="shared" si="19"/>
        <v>8.1971096896470044E-2</v>
      </c>
    </row>
    <row r="633" spans="1:16" x14ac:dyDescent="0.45">
      <c r="A633" t="s">
        <v>21</v>
      </c>
      <c r="B633" t="s">
        <v>22</v>
      </c>
      <c r="C633">
        <v>2023</v>
      </c>
      <c r="D633" t="s">
        <v>15</v>
      </c>
      <c r="E633" t="s">
        <v>20</v>
      </c>
      <c r="F633">
        <v>1293</v>
      </c>
      <c r="G633">
        <v>63.53</v>
      </c>
      <c r="H633">
        <v>59.42</v>
      </c>
      <c r="I633">
        <v>79</v>
      </c>
      <c r="J633" t="s">
        <v>17</v>
      </c>
      <c r="K633" s="14">
        <f>COUNTIFS(B:B,"Gamma_Co",E:E,"Delivered") / COUNTIF(B:B,"Gamma_Co")</f>
        <v>0.72027972027972031</v>
      </c>
      <c r="L633" s="15">
        <v>76830.06</v>
      </c>
      <c r="M633" s="15">
        <v>5314.23</v>
      </c>
      <c r="N633" s="14">
        <f t="shared" si="18"/>
        <v>6.1098221191028618E-2</v>
      </c>
      <c r="O633" s="1">
        <v>0.86</v>
      </c>
      <c r="P633" s="1">
        <f t="shared" si="19"/>
        <v>6.4693845427357149E-2</v>
      </c>
    </row>
    <row r="634" spans="1:16" x14ac:dyDescent="0.45">
      <c r="A634" t="s">
        <v>13</v>
      </c>
      <c r="B634" t="s">
        <v>14</v>
      </c>
      <c r="C634">
        <v>2023</v>
      </c>
      <c r="D634" t="s">
        <v>33</v>
      </c>
      <c r="E634" t="s">
        <v>20</v>
      </c>
      <c r="F634">
        <v>1142</v>
      </c>
      <c r="G634">
        <v>86.85</v>
      </c>
      <c r="H634">
        <v>74.28</v>
      </c>
      <c r="I634">
        <v>30</v>
      </c>
      <c r="J634" t="s">
        <v>17</v>
      </c>
      <c r="K634" s="14">
        <f>COUNTIFS(B:B,"Alpha_Inc",E:E,"Delivered")/COUNTIF(B:B,"Alpha_Inc")</f>
        <v>0.75886524822695034</v>
      </c>
      <c r="L634" s="15">
        <v>84827.76</v>
      </c>
      <c r="M634" s="15">
        <v>14354.94</v>
      </c>
      <c r="N634" s="14">
        <f t="shared" si="18"/>
        <v>2.6269702276707531E-2</v>
      </c>
      <c r="O634" s="1">
        <v>0.94</v>
      </c>
      <c r="P634" s="1">
        <f t="shared" si="19"/>
        <v>0.14473229706390323</v>
      </c>
    </row>
    <row r="635" spans="1:16" x14ac:dyDescent="0.45">
      <c r="A635" t="s">
        <v>29</v>
      </c>
      <c r="B635" t="s">
        <v>30</v>
      </c>
      <c r="C635">
        <v>2023</v>
      </c>
      <c r="D635" t="s">
        <v>23</v>
      </c>
      <c r="E635" t="s">
        <v>20</v>
      </c>
      <c r="F635">
        <v>1120</v>
      </c>
      <c r="G635">
        <v>42.17</v>
      </c>
      <c r="H635">
        <v>37.47</v>
      </c>
      <c r="I635">
        <v>33</v>
      </c>
      <c r="J635" t="s">
        <v>17</v>
      </c>
      <c r="K635" s="14">
        <f>COUNTIFS(B:B,"Epsilon_Group",E:E,"Delivered") / COUNTIF(B:B,"Epsilon_Group")</f>
        <v>0.72289156626506024</v>
      </c>
      <c r="L635" s="15">
        <v>41966.400000000001</v>
      </c>
      <c r="M635" s="15">
        <v>5264</v>
      </c>
      <c r="N635" s="14">
        <f t="shared" si="18"/>
        <v>2.9464285714285714E-2</v>
      </c>
      <c r="O635" s="1">
        <v>0.98</v>
      </c>
      <c r="P635" s="1">
        <f t="shared" si="19"/>
        <v>0.11145364002845631</v>
      </c>
    </row>
    <row r="636" spans="1:16" x14ac:dyDescent="0.45">
      <c r="A636" t="s">
        <v>13</v>
      </c>
      <c r="B636" t="s">
        <v>14</v>
      </c>
      <c r="C636">
        <v>2023</v>
      </c>
      <c r="D636" t="s">
        <v>23</v>
      </c>
      <c r="E636" t="s">
        <v>20</v>
      </c>
      <c r="F636">
        <v>1058</v>
      </c>
      <c r="G636">
        <v>71.3</v>
      </c>
      <c r="H636">
        <v>62.04</v>
      </c>
      <c r="I636">
        <v>24</v>
      </c>
      <c r="J636" t="s">
        <v>17</v>
      </c>
      <c r="K636" s="14">
        <f>COUNTIFS(B:B,"Alpha_Inc",E:E,"Delivered")/COUNTIF(B:B,"Alpha_Inc")</f>
        <v>0.75886524822695034</v>
      </c>
      <c r="L636" s="15">
        <v>65638.320000000007</v>
      </c>
      <c r="M636" s="15">
        <v>9797.08</v>
      </c>
      <c r="N636" s="14">
        <f t="shared" si="18"/>
        <v>2.2684310018903593E-2</v>
      </c>
      <c r="O636" s="1">
        <v>0.94</v>
      </c>
      <c r="P636" s="1">
        <f t="shared" si="19"/>
        <v>0.12987377279102383</v>
      </c>
    </row>
    <row r="637" spans="1:16" x14ac:dyDescent="0.45">
      <c r="A637" t="s">
        <v>29</v>
      </c>
      <c r="B637" t="s">
        <v>30</v>
      </c>
      <c r="C637">
        <v>2022</v>
      </c>
      <c r="D637" t="s">
        <v>15</v>
      </c>
      <c r="E637" t="s">
        <v>20</v>
      </c>
      <c r="F637">
        <v>143</v>
      </c>
      <c r="G637">
        <v>91.98</v>
      </c>
      <c r="H637">
        <v>86.02</v>
      </c>
      <c r="I637">
        <v>5</v>
      </c>
      <c r="J637" t="s">
        <v>17</v>
      </c>
      <c r="K637" s="14">
        <f>COUNTIFS(B:B,"Epsilon_Group",E:E,"Delivered") / COUNTIF(B:B,"Epsilon_Group")</f>
        <v>0.72289156626506024</v>
      </c>
      <c r="L637" s="15">
        <v>12300.86</v>
      </c>
      <c r="M637" s="15">
        <v>852.28</v>
      </c>
      <c r="N637" s="14">
        <f t="shared" si="18"/>
        <v>3.4965034965034968E-2</v>
      </c>
      <c r="O637" s="1">
        <v>0.98</v>
      </c>
      <c r="P637" s="1">
        <f t="shared" si="19"/>
        <v>6.4796694933681315E-2</v>
      </c>
    </row>
    <row r="638" spans="1:16" x14ac:dyDescent="0.45">
      <c r="A638" t="s">
        <v>24</v>
      </c>
      <c r="B638" t="s">
        <v>25</v>
      </c>
      <c r="C638">
        <v>2023</v>
      </c>
      <c r="D638" t="s">
        <v>23</v>
      </c>
      <c r="E638" t="s">
        <v>20</v>
      </c>
      <c r="F638">
        <v>1823</v>
      </c>
      <c r="G638">
        <v>70.66</v>
      </c>
      <c r="H638">
        <v>66.92</v>
      </c>
      <c r="I638">
        <v>202</v>
      </c>
      <c r="J638" t="s">
        <v>17</v>
      </c>
      <c r="K638" s="14">
        <f>COUNTIFS(B:B,"Beta_Supplies",E:E,"Delivered") / COUNTIF(B:B,"Beta_Supplies")</f>
        <v>0.70512820512820518</v>
      </c>
      <c r="L638" s="15">
        <v>121995.16</v>
      </c>
      <c r="M638" s="15">
        <v>6818.02</v>
      </c>
      <c r="N638" s="14">
        <f t="shared" si="18"/>
        <v>0.11080636313768513</v>
      </c>
      <c r="O638" s="1">
        <v>0.76</v>
      </c>
      <c r="P638" s="1">
        <f t="shared" si="19"/>
        <v>5.2929521652986061E-2</v>
      </c>
    </row>
    <row r="639" spans="1:16" x14ac:dyDescent="0.45">
      <c r="A639" t="s">
        <v>21</v>
      </c>
      <c r="B639" t="s">
        <v>22</v>
      </c>
      <c r="C639">
        <v>2023</v>
      </c>
      <c r="D639" t="s">
        <v>15</v>
      </c>
      <c r="E639" t="s">
        <v>20</v>
      </c>
      <c r="F639">
        <v>1007</v>
      </c>
      <c r="G639">
        <v>33.29</v>
      </c>
      <c r="H639">
        <v>28.48</v>
      </c>
      <c r="I639">
        <v>49</v>
      </c>
      <c r="J639" t="s">
        <v>17</v>
      </c>
      <c r="K639" s="14">
        <f>COUNTIFS(B:B,"Gamma_Co",E:E,"Delivered") / COUNTIF(B:B,"Gamma_Co")</f>
        <v>0.72027972027972031</v>
      </c>
      <c r="L639" s="15">
        <v>28679.360000000001</v>
      </c>
      <c r="M639" s="15">
        <v>4843.67</v>
      </c>
      <c r="N639" s="14">
        <f t="shared" si="18"/>
        <v>4.8659384309831182E-2</v>
      </c>
      <c r="O639" s="1">
        <v>0.86</v>
      </c>
      <c r="P639" s="1">
        <f t="shared" si="19"/>
        <v>0.14448783418443975</v>
      </c>
    </row>
    <row r="640" spans="1:16" x14ac:dyDescent="0.45">
      <c r="A640" t="s">
        <v>21</v>
      </c>
      <c r="B640" t="s">
        <v>22</v>
      </c>
      <c r="C640">
        <v>2022</v>
      </c>
      <c r="D640" t="s">
        <v>26</v>
      </c>
      <c r="E640" t="s">
        <v>20</v>
      </c>
      <c r="F640">
        <v>1061</v>
      </c>
      <c r="G640">
        <v>12.68</v>
      </c>
      <c r="H640">
        <v>12.36</v>
      </c>
      <c r="I640">
        <v>56</v>
      </c>
      <c r="J640" t="s">
        <v>28</v>
      </c>
      <c r="K640" s="14">
        <f>COUNTIFS(B:B,"Gamma_Co",E:E,"Delivered") / COUNTIF(B:B,"Gamma_Co")</f>
        <v>0.72027972027972031</v>
      </c>
      <c r="L640" s="15">
        <v>13113.96</v>
      </c>
      <c r="M640" s="15">
        <v>339.52</v>
      </c>
      <c r="N640" s="14">
        <f t="shared" si="18"/>
        <v>5.2780395852968898E-2</v>
      </c>
      <c r="O640" s="1">
        <v>0.14000000000000001</v>
      </c>
      <c r="P640" s="1">
        <f t="shared" si="19"/>
        <v>2.5236593059936932E-2</v>
      </c>
    </row>
    <row r="641" spans="1:16" x14ac:dyDescent="0.45">
      <c r="A641" t="s">
        <v>24</v>
      </c>
      <c r="B641" t="s">
        <v>25</v>
      </c>
      <c r="C641">
        <v>2022</v>
      </c>
      <c r="D641" t="s">
        <v>23</v>
      </c>
      <c r="E641" t="s">
        <v>32</v>
      </c>
      <c r="F641">
        <v>502</v>
      </c>
      <c r="G641">
        <v>91.84</v>
      </c>
      <c r="H641">
        <v>82.33</v>
      </c>
      <c r="I641">
        <v>105</v>
      </c>
      <c r="J641" t="s">
        <v>17</v>
      </c>
      <c r="K641" s="14">
        <f>COUNTIFS(B:B,"Beta_Supplies",E:E,"Pending") / COUNTIF(B:B,"Beta_Supplies")</f>
        <v>0.12179487179487179</v>
      </c>
      <c r="L641" s="15">
        <v>41329.660000000003</v>
      </c>
      <c r="M641" s="15">
        <v>4774.0200000000004</v>
      </c>
      <c r="N641" s="14">
        <f t="shared" si="18"/>
        <v>0.20916334661354583</v>
      </c>
      <c r="O641" s="1">
        <v>0.76</v>
      </c>
      <c r="P641" s="1">
        <f t="shared" si="19"/>
        <v>0.10354965156794431</v>
      </c>
    </row>
    <row r="642" spans="1:16" x14ac:dyDescent="0.45">
      <c r="A642" t="s">
        <v>18</v>
      </c>
      <c r="B642" t="s">
        <v>19</v>
      </c>
      <c r="C642">
        <v>2023</v>
      </c>
      <c r="D642" t="s">
        <v>26</v>
      </c>
      <c r="E642" t="s">
        <v>20</v>
      </c>
      <c r="F642">
        <v>1277</v>
      </c>
      <c r="G642">
        <v>13.17</v>
      </c>
      <c r="H642">
        <v>11.63</v>
      </c>
      <c r="I642">
        <v>199</v>
      </c>
      <c r="J642" t="s">
        <v>28</v>
      </c>
      <c r="K642" s="14">
        <f>COUNTIFS(B:B,"Delta_Logistics",E:E,"Delivered") / COUNTIF(B:B,"Delta_Logistics")</f>
        <v>0.70175438596491224</v>
      </c>
      <c r="L642" s="15">
        <v>14851.51</v>
      </c>
      <c r="M642" s="15">
        <v>1966.58</v>
      </c>
      <c r="N642" s="14">
        <f t="shared" ref="N642:N705" si="20">I642/F642</f>
        <v>0.1558339859044636</v>
      </c>
      <c r="O642" s="1">
        <v>0.39</v>
      </c>
      <c r="P642" s="1">
        <f t="shared" si="19"/>
        <v>0.11693242217160206</v>
      </c>
    </row>
    <row r="643" spans="1:16" x14ac:dyDescent="0.45">
      <c r="A643" t="s">
        <v>13</v>
      </c>
      <c r="B643" t="s">
        <v>14</v>
      </c>
      <c r="C643">
        <v>2022</v>
      </c>
      <c r="D643" t="s">
        <v>26</v>
      </c>
      <c r="E643" t="s">
        <v>20</v>
      </c>
      <c r="F643">
        <v>961</v>
      </c>
      <c r="G643">
        <v>92.72</v>
      </c>
      <c r="H643">
        <v>88.49</v>
      </c>
      <c r="I643">
        <v>22</v>
      </c>
      <c r="J643" t="s">
        <v>17</v>
      </c>
      <c r="K643" s="14">
        <f>COUNTIFS(B:B,"Alpha_Inc",E:E,"Delivered")/COUNTIF(B:B,"Alpha_Inc")</f>
        <v>0.75886524822695034</v>
      </c>
      <c r="L643" s="15">
        <v>85038.89</v>
      </c>
      <c r="M643" s="15">
        <v>4065.03</v>
      </c>
      <c r="N643" s="14">
        <f t="shared" si="20"/>
        <v>2.2892819979188347E-2</v>
      </c>
      <c r="O643" s="1">
        <v>0.94</v>
      </c>
      <c r="P643" s="1">
        <f t="shared" ref="P643:P706" si="21">((G643-H643)/G643)</f>
        <v>4.5621225194132919E-2</v>
      </c>
    </row>
    <row r="644" spans="1:16" x14ac:dyDescent="0.45">
      <c r="A644" t="s">
        <v>21</v>
      </c>
      <c r="B644" t="s">
        <v>22</v>
      </c>
      <c r="C644">
        <v>2023</v>
      </c>
      <c r="D644" t="s">
        <v>26</v>
      </c>
      <c r="E644" t="s">
        <v>20</v>
      </c>
      <c r="F644">
        <v>267</v>
      </c>
      <c r="G644">
        <v>62.5</v>
      </c>
      <c r="H644">
        <v>61.18</v>
      </c>
      <c r="I644">
        <v>17</v>
      </c>
      <c r="J644" t="s">
        <v>17</v>
      </c>
      <c r="K644" s="14">
        <f>COUNTIFS(B:B,"Gamma_Co",E:E,"Delivered") / COUNTIF(B:B,"Gamma_Co")</f>
        <v>0.72027972027972031</v>
      </c>
      <c r="L644" s="15">
        <v>16335.06</v>
      </c>
      <c r="M644" s="15">
        <v>352.44</v>
      </c>
      <c r="N644" s="14">
        <f t="shared" si="20"/>
        <v>6.3670411985018729E-2</v>
      </c>
      <c r="O644" s="1">
        <v>0.86</v>
      </c>
      <c r="P644" s="1">
        <f t="shared" si="21"/>
        <v>2.1120000000000003E-2</v>
      </c>
    </row>
    <row r="645" spans="1:16" x14ac:dyDescent="0.45">
      <c r="A645" t="s">
        <v>18</v>
      </c>
      <c r="B645" t="s">
        <v>19</v>
      </c>
      <c r="C645">
        <v>2023</v>
      </c>
      <c r="D645" t="s">
        <v>27</v>
      </c>
      <c r="E645" t="s">
        <v>16</v>
      </c>
      <c r="F645">
        <v>523</v>
      </c>
      <c r="G645">
        <v>102.08</v>
      </c>
      <c r="H645">
        <v>99.59</v>
      </c>
      <c r="I645">
        <v>155</v>
      </c>
      <c r="J645" t="s">
        <v>17</v>
      </c>
      <c r="K645" s="14">
        <f>COUNTIFS(B:B,"Delta_Logistics",E:E,"Cancelled") / COUNTIF(B:B,"Delta_Logistics")</f>
        <v>9.3567251461988299E-2</v>
      </c>
      <c r="L645" s="15">
        <v>52085.57</v>
      </c>
      <c r="M645" s="15">
        <v>1302.27</v>
      </c>
      <c r="N645" s="14">
        <f t="shared" si="20"/>
        <v>0.29636711281070743</v>
      </c>
      <c r="O645" s="1">
        <v>0.61</v>
      </c>
      <c r="P645" s="1">
        <f t="shared" si="21"/>
        <v>2.4392633228840076E-2</v>
      </c>
    </row>
    <row r="646" spans="1:16" x14ac:dyDescent="0.45">
      <c r="A646" t="s">
        <v>29</v>
      </c>
      <c r="B646" t="s">
        <v>30</v>
      </c>
      <c r="C646">
        <v>2023</v>
      </c>
      <c r="D646" t="s">
        <v>33</v>
      </c>
      <c r="E646" t="s">
        <v>32</v>
      </c>
      <c r="F646">
        <v>481</v>
      </c>
      <c r="G646">
        <v>90.49</v>
      </c>
      <c r="H646">
        <v>77.17</v>
      </c>
      <c r="I646">
        <v>33</v>
      </c>
      <c r="J646" t="s">
        <v>17</v>
      </c>
      <c r="K646" s="14">
        <f>COUNTIFS(B:B,"Epsilon_Group",E:E,"Pending") / COUNTIF(B:B,"Epsilon_Group")</f>
        <v>0.10843373493975904</v>
      </c>
      <c r="L646" s="15">
        <v>37118.769999999997</v>
      </c>
      <c r="M646" s="15">
        <v>6406.92</v>
      </c>
      <c r="N646" s="14">
        <f t="shared" si="20"/>
        <v>6.8607068607068611E-2</v>
      </c>
      <c r="O646" s="1">
        <v>0.98</v>
      </c>
      <c r="P646" s="1">
        <f t="shared" si="21"/>
        <v>0.1471985854790584</v>
      </c>
    </row>
    <row r="647" spans="1:16" x14ac:dyDescent="0.45">
      <c r="A647" t="s">
        <v>21</v>
      </c>
      <c r="B647" t="s">
        <v>22</v>
      </c>
      <c r="C647">
        <v>2022</v>
      </c>
      <c r="D647" t="s">
        <v>15</v>
      </c>
      <c r="E647" t="s">
        <v>20</v>
      </c>
      <c r="F647">
        <v>390</v>
      </c>
      <c r="G647">
        <v>103.81</v>
      </c>
      <c r="H647">
        <v>100.12</v>
      </c>
      <c r="I647">
        <v>20</v>
      </c>
      <c r="J647" t="s">
        <v>17</v>
      </c>
      <c r="K647" s="14">
        <f>COUNTIFS(B:B,"Gamma_Co",E:E,"Delivered") / COUNTIF(B:B,"Gamma_Co")</f>
        <v>0.72027972027972031</v>
      </c>
      <c r="L647" s="15">
        <v>39046.800000000003</v>
      </c>
      <c r="M647" s="15">
        <v>1439.1</v>
      </c>
      <c r="N647" s="14">
        <f t="shared" si="20"/>
        <v>5.128205128205128E-2</v>
      </c>
      <c r="O647" s="1">
        <v>0.86</v>
      </c>
      <c r="P647" s="1">
        <f t="shared" si="21"/>
        <v>3.5545708505924263E-2</v>
      </c>
    </row>
    <row r="648" spans="1:16" x14ac:dyDescent="0.45">
      <c r="A648" t="s">
        <v>29</v>
      </c>
      <c r="B648" t="s">
        <v>30</v>
      </c>
      <c r="C648">
        <v>2022</v>
      </c>
      <c r="D648" t="s">
        <v>26</v>
      </c>
      <c r="E648" t="s">
        <v>20</v>
      </c>
      <c r="F648">
        <v>600</v>
      </c>
      <c r="G648">
        <v>43.43</v>
      </c>
      <c r="H648">
        <v>38.76</v>
      </c>
      <c r="I648">
        <v>22</v>
      </c>
      <c r="J648" t="s">
        <v>17</v>
      </c>
      <c r="K648" s="14">
        <f>COUNTIFS(B:B,"Epsilon_Group",E:E,"Delivered") / COUNTIF(B:B,"Epsilon_Group")</f>
        <v>0.72289156626506024</v>
      </c>
      <c r="L648" s="15">
        <v>23256</v>
      </c>
      <c r="M648" s="15">
        <v>2802</v>
      </c>
      <c r="N648" s="14">
        <f t="shared" si="20"/>
        <v>3.6666666666666667E-2</v>
      </c>
      <c r="O648" s="1">
        <v>0.98</v>
      </c>
      <c r="P648" s="1">
        <f t="shared" si="21"/>
        <v>0.10752935758692152</v>
      </c>
    </row>
    <row r="649" spans="1:16" x14ac:dyDescent="0.45">
      <c r="A649" t="s">
        <v>18</v>
      </c>
      <c r="B649" t="s">
        <v>19</v>
      </c>
      <c r="C649">
        <v>2023</v>
      </c>
      <c r="D649" t="s">
        <v>15</v>
      </c>
      <c r="E649" t="s">
        <v>20</v>
      </c>
      <c r="F649">
        <v>1685</v>
      </c>
      <c r="G649">
        <v>84.58</v>
      </c>
      <c r="H649">
        <v>75.209999999999994</v>
      </c>
      <c r="I649">
        <v>253</v>
      </c>
      <c r="J649" t="s">
        <v>28</v>
      </c>
      <c r="K649" s="14">
        <f>COUNTIFS(B:B,"Delta_Logistics",E:E,"Delivered") / COUNTIF(B:B,"Delta_Logistics")</f>
        <v>0.70175438596491224</v>
      </c>
      <c r="L649" s="15">
        <v>126728.85</v>
      </c>
      <c r="M649" s="15">
        <v>15788.45</v>
      </c>
      <c r="N649" s="14">
        <f t="shared" si="20"/>
        <v>0.15014836795252226</v>
      </c>
      <c r="O649" s="1">
        <v>0.39</v>
      </c>
      <c r="P649" s="1">
        <f t="shared" si="21"/>
        <v>0.11078269094348552</v>
      </c>
    </row>
    <row r="650" spans="1:16" x14ac:dyDescent="0.45">
      <c r="A650" t="s">
        <v>29</v>
      </c>
      <c r="B650" t="s">
        <v>30</v>
      </c>
      <c r="C650">
        <v>2022</v>
      </c>
      <c r="D650" t="s">
        <v>26</v>
      </c>
      <c r="E650" t="s">
        <v>16</v>
      </c>
      <c r="F650">
        <v>1362</v>
      </c>
      <c r="G650">
        <v>46.64</v>
      </c>
      <c r="H650">
        <v>42.85</v>
      </c>
      <c r="I650">
        <v>33</v>
      </c>
      <c r="J650" t="s">
        <v>17</v>
      </c>
      <c r="K650" s="14">
        <f>COUNTIFS(B:B,"Epsilon_Group",E:E,"Cancelled") / COUNTIF(B:B,"Epsilon_Group")</f>
        <v>8.4337349397590355E-2</v>
      </c>
      <c r="L650" s="15">
        <v>58361.7</v>
      </c>
      <c r="M650" s="15">
        <v>5161.9799999999996</v>
      </c>
      <c r="N650" s="14">
        <f t="shared" si="20"/>
        <v>2.4229074889867842E-2</v>
      </c>
      <c r="O650" s="1">
        <v>0.98</v>
      </c>
      <c r="P650" s="1">
        <f t="shared" si="21"/>
        <v>8.1260720411663795E-2</v>
      </c>
    </row>
    <row r="651" spans="1:16" x14ac:dyDescent="0.45">
      <c r="A651" t="s">
        <v>18</v>
      </c>
      <c r="B651" t="s">
        <v>19</v>
      </c>
      <c r="C651">
        <v>2024</v>
      </c>
      <c r="D651" t="s">
        <v>33</v>
      </c>
      <c r="E651" t="s">
        <v>32</v>
      </c>
      <c r="F651">
        <v>1327</v>
      </c>
      <c r="G651">
        <v>59.57</v>
      </c>
      <c r="H651">
        <v>56.44</v>
      </c>
      <c r="I651">
        <v>169</v>
      </c>
      <c r="J651" t="s">
        <v>17</v>
      </c>
      <c r="K651" s="14">
        <f>COUNTIFS(B:B,"Delta_Logistics",E:E,"Pending") / COUNTIF(B:B,"Delta_Logistics")</f>
        <v>9.9415204678362568E-2</v>
      </c>
      <c r="L651" s="15">
        <v>74895.88</v>
      </c>
      <c r="M651" s="15">
        <v>4153.51</v>
      </c>
      <c r="N651" s="14">
        <f t="shared" si="20"/>
        <v>0.12735493594574226</v>
      </c>
      <c r="O651" s="1">
        <v>0.61</v>
      </c>
      <c r="P651" s="1">
        <f t="shared" si="21"/>
        <v>5.2543226456269979E-2</v>
      </c>
    </row>
    <row r="652" spans="1:16" x14ac:dyDescent="0.45">
      <c r="A652" t="s">
        <v>29</v>
      </c>
      <c r="B652" t="s">
        <v>30</v>
      </c>
      <c r="C652">
        <v>2022</v>
      </c>
      <c r="D652" t="s">
        <v>23</v>
      </c>
      <c r="E652" t="s">
        <v>20</v>
      </c>
      <c r="F652">
        <v>1807</v>
      </c>
      <c r="G652">
        <v>69.47</v>
      </c>
      <c r="H652">
        <v>60</v>
      </c>
      <c r="I652">
        <v>50</v>
      </c>
      <c r="J652" t="s">
        <v>17</v>
      </c>
      <c r="K652" s="14">
        <f>COUNTIFS(B:B,"Epsilon_Group",E:E,"Delivered") / COUNTIF(B:B,"Epsilon_Group")</f>
        <v>0.72289156626506024</v>
      </c>
      <c r="L652" s="15">
        <v>108420</v>
      </c>
      <c r="M652" s="15">
        <v>17112.29</v>
      </c>
      <c r="N652" s="14">
        <f t="shared" si="20"/>
        <v>2.7670171555063641E-2</v>
      </c>
      <c r="O652" s="1">
        <v>0.98</v>
      </c>
      <c r="P652" s="1">
        <f t="shared" si="21"/>
        <v>0.13631783503670647</v>
      </c>
    </row>
    <row r="653" spans="1:16" x14ac:dyDescent="0.45">
      <c r="A653" t="s">
        <v>13</v>
      </c>
      <c r="B653" t="s">
        <v>14</v>
      </c>
      <c r="C653">
        <v>2022</v>
      </c>
      <c r="D653" t="s">
        <v>15</v>
      </c>
      <c r="E653" t="s">
        <v>32</v>
      </c>
      <c r="F653">
        <v>406</v>
      </c>
      <c r="G653">
        <v>91.73</v>
      </c>
      <c r="H653">
        <v>89.13</v>
      </c>
      <c r="I653">
        <v>24</v>
      </c>
      <c r="J653" t="s">
        <v>17</v>
      </c>
      <c r="K653" s="14">
        <f>COUNTIFS(B:B,"Alpha_Inc",E:E,"Pending")/COUNTIF(B:B,"Alpha_Inc")</f>
        <v>7.8014184397163122E-2</v>
      </c>
      <c r="L653" s="15">
        <v>36186.78</v>
      </c>
      <c r="M653" s="15">
        <v>1055.5999999999999</v>
      </c>
      <c r="N653" s="14">
        <f t="shared" si="20"/>
        <v>5.9113300492610835E-2</v>
      </c>
      <c r="O653" s="1">
        <v>0.94</v>
      </c>
      <c r="P653" s="1">
        <f t="shared" si="21"/>
        <v>2.8344053199607637E-2</v>
      </c>
    </row>
    <row r="654" spans="1:16" x14ac:dyDescent="0.45">
      <c r="A654" t="s">
        <v>21</v>
      </c>
      <c r="B654" t="s">
        <v>22</v>
      </c>
      <c r="C654">
        <v>2022</v>
      </c>
      <c r="D654" t="s">
        <v>27</v>
      </c>
      <c r="E654" t="s">
        <v>31</v>
      </c>
      <c r="F654">
        <v>72</v>
      </c>
      <c r="G654">
        <v>103</v>
      </c>
      <c r="H654">
        <v>89.49</v>
      </c>
      <c r="I654">
        <v>1</v>
      </c>
      <c r="J654" t="s">
        <v>28</v>
      </c>
      <c r="K654" s="14">
        <f>COUNTIFS(B:B,"Gamma_Co",E:E,"Partially Delivered") / COUNTIF(B:B,"Gamma_Co")</f>
        <v>0.12587412587412589</v>
      </c>
      <c r="L654" s="15">
        <v>6443.28</v>
      </c>
      <c r="M654" s="15">
        <v>972.72</v>
      </c>
      <c r="N654" s="14">
        <f t="shared" si="20"/>
        <v>1.3888888888888888E-2</v>
      </c>
      <c r="O654" s="1">
        <v>0.14000000000000001</v>
      </c>
      <c r="P654" s="1">
        <f t="shared" si="21"/>
        <v>0.13116504854368938</v>
      </c>
    </row>
    <row r="655" spans="1:16" x14ac:dyDescent="0.45">
      <c r="A655" t="s">
        <v>21</v>
      </c>
      <c r="B655" t="s">
        <v>22</v>
      </c>
      <c r="C655">
        <v>2022</v>
      </c>
      <c r="D655" t="s">
        <v>15</v>
      </c>
      <c r="E655" t="s">
        <v>20</v>
      </c>
      <c r="F655">
        <v>1835</v>
      </c>
      <c r="G655">
        <v>83.5</v>
      </c>
      <c r="H655">
        <v>82.36</v>
      </c>
      <c r="I655">
        <v>85</v>
      </c>
      <c r="J655" t="s">
        <v>28</v>
      </c>
      <c r="K655" s="14">
        <f>COUNTIFS(B:B,"Gamma_Co",E:E,"Delivered") / COUNTIF(B:B,"Gamma_Co")</f>
        <v>0.72027972027972031</v>
      </c>
      <c r="L655" s="15">
        <v>151130.6</v>
      </c>
      <c r="M655" s="15">
        <v>2091.9</v>
      </c>
      <c r="N655" s="14">
        <f t="shared" si="20"/>
        <v>4.632152588555858E-2</v>
      </c>
      <c r="O655" s="1">
        <v>0.14000000000000001</v>
      </c>
      <c r="P655" s="1">
        <f t="shared" si="21"/>
        <v>1.365269461077845E-2</v>
      </c>
    </row>
    <row r="656" spans="1:16" x14ac:dyDescent="0.45">
      <c r="A656" t="s">
        <v>18</v>
      </c>
      <c r="B656" t="s">
        <v>19</v>
      </c>
      <c r="C656">
        <v>2022</v>
      </c>
      <c r="D656" t="s">
        <v>33</v>
      </c>
      <c r="E656" t="s">
        <v>32</v>
      </c>
      <c r="F656">
        <v>571</v>
      </c>
      <c r="G656">
        <v>49.98</v>
      </c>
      <c r="H656">
        <v>45.58</v>
      </c>
      <c r="I656">
        <v>155</v>
      </c>
      <c r="J656" t="s">
        <v>28</v>
      </c>
      <c r="K656" s="14">
        <f>COUNTIFS(B:B,"Delta_Logistics",E:E,"Pending") / COUNTIF(B:B,"Delta_Logistics")</f>
        <v>9.9415204678362568E-2</v>
      </c>
      <c r="L656" s="15">
        <v>26026.18</v>
      </c>
      <c r="M656" s="15">
        <v>2512.4</v>
      </c>
      <c r="N656" s="14">
        <f t="shared" si="20"/>
        <v>0.27145359019264448</v>
      </c>
      <c r="O656" s="1">
        <v>0.39</v>
      </c>
      <c r="P656" s="1">
        <f t="shared" si="21"/>
        <v>8.8035214085634236E-2</v>
      </c>
    </row>
    <row r="657" spans="1:16" x14ac:dyDescent="0.45">
      <c r="A657" t="s">
        <v>29</v>
      </c>
      <c r="B657" t="s">
        <v>30</v>
      </c>
      <c r="C657">
        <v>2023</v>
      </c>
      <c r="D657" t="s">
        <v>26</v>
      </c>
      <c r="E657" t="s">
        <v>20</v>
      </c>
      <c r="F657">
        <v>1831</v>
      </c>
      <c r="G657">
        <v>52.24</v>
      </c>
      <c r="H657">
        <v>50.44</v>
      </c>
      <c r="I657">
        <v>60</v>
      </c>
      <c r="J657" t="s">
        <v>17</v>
      </c>
      <c r="K657" s="14">
        <f>COUNTIFS(B:B,"Epsilon_Group",E:E,"Delivered") / COUNTIF(B:B,"Epsilon_Group")</f>
        <v>0.72289156626506024</v>
      </c>
      <c r="L657" s="15">
        <v>92355.64</v>
      </c>
      <c r="M657" s="15">
        <v>3295.8</v>
      </c>
      <c r="N657" s="14">
        <f t="shared" si="20"/>
        <v>3.2768978700163848E-2</v>
      </c>
      <c r="O657" s="1">
        <v>0.98</v>
      </c>
      <c r="P657" s="1">
        <f t="shared" si="21"/>
        <v>3.4456355283307892E-2</v>
      </c>
    </row>
    <row r="658" spans="1:16" x14ac:dyDescent="0.45">
      <c r="A658" t="s">
        <v>24</v>
      </c>
      <c r="B658" t="s">
        <v>25</v>
      </c>
      <c r="C658">
        <v>2022</v>
      </c>
      <c r="D658" t="s">
        <v>15</v>
      </c>
      <c r="E658" t="s">
        <v>32</v>
      </c>
      <c r="F658">
        <v>1910</v>
      </c>
      <c r="G658">
        <v>77.150000000000006</v>
      </c>
      <c r="H658">
        <v>68.489999999999995</v>
      </c>
      <c r="I658">
        <v>170</v>
      </c>
      <c r="J658" t="s">
        <v>17</v>
      </c>
      <c r="K658" s="14">
        <f>COUNTIFS(B:B,"Beta_Supplies",E:E,"Pending") / COUNTIF(B:B,"Beta_Supplies")</f>
        <v>0.12179487179487179</v>
      </c>
      <c r="L658" s="15">
        <v>130815.9</v>
      </c>
      <c r="M658" s="15">
        <v>16540.599999999999</v>
      </c>
      <c r="N658" s="14">
        <f t="shared" si="20"/>
        <v>8.9005235602094238E-2</v>
      </c>
      <c r="O658" s="1">
        <v>0.76</v>
      </c>
      <c r="P658" s="1">
        <f t="shared" si="21"/>
        <v>0.11224886584575515</v>
      </c>
    </row>
    <row r="659" spans="1:16" x14ac:dyDescent="0.45">
      <c r="A659" t="s">
        <v>21</v>
      </c>
      <c r="B659" t="s">
        <v>22</v>
      </c>
      <c r="C659">
        <v>2022</v>
      </c>
      <c r="D659" t="s">
        <v>33</v>
      </c>
      <c r="E659" t="s">
        <v>31</v>
      </c>
      <c r="F659">
        <v>1173</v>
      </c>
      <c r="G659">
        <v>32.119999999999997</v>
      </c>
      <c r="H659">
        <v>29.18</v>
      </c>
      <c r="I659">
        <v>55</v>
      </c>
      <c r="J659" t="s">
        <v>17</v>
      </c>
      <c r="K659" s="14">
        <f>COUNTIFS(B:B,"Gamma_Co",E:E,"Partially Delivered") / COUNTIF(B:B,"Gamma_Co")</f>
        <v>0.12587412587412589</v>
      </c>
      <c r="L659" s="15">
        <v>34228.14</v>
      </c>
      <c r="M659" s="15">
        <v>3448.62</v>
      </c>
      <c r="N659" s="14">
        <f t="shared" si="20"/>
        <v>4.6888320545609548E-2</v>
      </c>
      <c r="O659" s="1">
        <v>0.86</v>
      </c>
      <c r="P659" s="1">
        <f t="shared" si="21"/>
        <v>9.1531755915317495E-2</v>
      </c>
    </row>
    <row r="660" spans="1:16" x14ac:dyDescent="0.45">
      <c r="A660" t="s">
        <v>29</v>
      </c>
      <c r="B660" t="s">
        <v>30</v>
      </c>
      <c r="C660">
        <v>2022</v>
      </c>
      <c r="D660" t="s">
        <v>26</v>
      </c>
      <c r="E660" t="s">
        <v>31</v>
      </c>
      <c r="F660">
        <v>851</v>
      </c>
      <c r="G660">
        <v>20.440000000000001</v>
      </c>
      <c r="H660">
        <v>19.22</v>
      </c>
      <c r="I660">
        <v>22</v>
      </c>
      <c r="J660" t="s">
        <v>17</v>
      </c>
      <c r="K660" s="14">
        <f>COUNTIFS(B:B,"Epsilon_Group",E:E,"Partially Delivered") / COUNTIF(B:B,"Epsilon_Group")</f>
        <v>8.4337349397590355E-2</v>
      </c>
      <c r="L660" s="15">
        <v>16356.22</v>
      </c>
      <c r="M660" s="15">
        <v>1038.22</v>
      </c>
      <c r="N660" s="14">
        <f t="shared" si="20"/>
        <v>2.5851938895417155E-2</v>
      </c>
      <c r="O660" s="1">
        <v>0.98</v>
      </c>
      <c r="P660" s="1">
        <f t="shared" si="21"/>
        <v>5.9686888454011856E-2</v>
      </c>
    </row>
    <row r="661" spans="1:16" x14ac:dyDescent="0.45">
      <c r="A661" t="s">
        <v>29</v>
      </c>
      <c r="B661" t="s">
        <v>30</v>
      </c>
      <c r="C661">
        <v>2022</v>
      </c>
      <c r="D661" t="s">
        <v>23</v>
      </c>
      <c r="E661" t="s">
        <v>16</v>
      </c>
      <c r="F661">
        <v>1253</v>
      </c>
      <c r="G661">
        <v>43.38</v>
      </c>
      <c r="H661">
        <v>38.01</v>
      </c>
      <c r="I661">
        <v>34</v>
      </c>
      <c r="J661" t="s">
        <v>17</v>
      </c>
      <c r="K661" s="14">
        <f>COUNTIFS(B:B,"Epsilon_Group",E:E,"Cancelled") / COUNTIF(B:B,"Epsilon_Group")</f>
        <v>8.4337349397590355E-2</v>
      </c>
      <c r="L661" s="15">
        <v>47626.53</v>
      </c>
      <c r="M661" s="15">
        <v>6728.61</v>
      </c>
      <c r="N661" s="14">
        <f t="shared" si="20"/>
        <v>2.7134876296887472E-2</v>
      </c>
      <c r="O661" s="1">
        <v>0.98</v>
      </c>
      <c r="P661" s="1">
        <f t="shared" si="21"/>
        <v>0.12378976486860314</v>
      </c>
    </row>
    <row r="662" spans="1:16" x14ac:dyDescent="0.45">
      <c r="A662" t="s">
        <v>13</v>
      </c>
      <c r="B662" t="s">
        <v>14</v>
      </c>
      <c r="C662">
        <v>2023</v>
      </c>
      <c r="D662" t="s">
        <v>33</v>
      </c>
      <c r="E662" t="s">
        <v>20</v>
      </c>
      <c r="F662">
        <v>1296</v>
      </c>
      <c r="G662">
        <v>38</v>
      </c>
      <c r="H662">
        <v>33.42</v>
      </c>
      <c r="I662">
        <v>33</v>
      </c>
      <c r="J662" t="s">
        <v>17</v>
      </c>
      <c r="K662" s="14">
        <f>COUNTIFS(B:B,"Alpha_Inc",E:E,"Delivered")/COUNTIF(B:B,"Alpha_Inc")</f>
        <v>0.75886524822695034</v>
      </c>
      <c r="L662" s="15">
        <v>43312.32</v>
      </c>
      <c r="M662" s="15">
        <v>5935.68</v>
      </c>
      <c r="N662" s="14">
        <f t="shared" si="20"/>
        <v>2.5462962962962962E-2</v>
      </c>
      <c r="O662" s="1">
        <v>0.94</v>
      </c>
      <c r="P662" s="1">
        <f t="shared" si="21"/>
        <v>0.12052631578947363</v>
      </c>
    </row>
    <row r="663" spans="1:16" x14ac:dyDescent="0.45">
      <c r="A663" t="s">
        <v>24</v>
      </c>
      <c r="B663" t="s">
        <v>25</v>
      </c>
      <c r="C663">
        <v>2023</v>
      </c>
      <c r="D663" t="s">
        <v>27</v>
      </c>
      <c r="E663" t="s">
        <v>20</v>
      </c>
      <c r="F663">
        <v>1979</v>
      </c>
      <c r="G663">
        <v>40.880000000000003</v>
      </c>
      <c r="H663">
        <v>39.46</v>
      </c>
      <c r="I663">
        <v>221</v>
      </c>
      <c r="J663" t="s">
        <v>17</v>
      </c>
      <c r="K663" s="14">
        <f>COUNTIFS(B:B,"Beta_Supplies",E:E,"Delivered") / COUNTIF(B:B,"Beta_Supplies")</f>
        <v>0.70512820512820518</v>
      </c>
      <c r="L663" s="15">
        <v>78091.34</v>
      </c>
      <c r="M663" s="15">
        <v>2810.18</v>
      </c>
      <c r="N663" s="14">
        <f t="shared" si="20"/>
        <v>0.11167256189994947</v>
      </c>
      <c r="O663" s="1">
        <v>0.76</v>
      </c>
      <c r="P663" s="1">
        <f t="shared" si="21"/>
        <v>3.4735812133072447E-2</v>
      </c>
    </row>
    <row r="664" spans="1:16" x14ac:dyDescent="0.45">
      <c r="A664" t="s">
        <v>21</v>
      </c>
      <c r="B664" t="s">
        <v>22</v>
      </c>
      <c r="C664">
        <v>2022</v>
      </c>
      <c r="D664" t="s">
        <v>15</v>
      </c>
      <c r="E664" t="s">
        <v>20</v>
      </c>
      <c r="F664">
        <v>811</v>
      </c>
      <c r="G664">
        <v>31.8</v>
      </c>
      <c r="H664">
        <v>30.33</v>
      </c>
      <c r="I664">
        <v>58</v>
      </c>
      <c r="J664" t="s">
        <v>17</v>
      </c>
      <c r="K664" s="14">
        <f>COUNTIFS(B:B,"Gamma_Co",E:E,"Delivered") / COUNTIF(B:B,"Gamma_Co")</f>
        <v>0.72027972027972031</v>
      </c>
      <c r="L664" s="15">
        <v>24597.63</v>
      </c>
      <c r="M664" s="15">
        <v>1192.17</v>
      </c>
      <c r="N664" s="14">
        <f t="shared" si="20"/>
        <v>7.1516646115906288E-2</v>
      </c>
      <c r="O664" s="1">
        <v>0.86</v>
      </c>
      <c r="P664" s="1">
        <f t="shared" si="21"/>
        <v>4.6226415094339696E-2</v>
      </c>
    </row>
    <row r="665" spans="1:16" x14ac:dyDescent="0.45">
      <c r="A665" t="s">
        <v>13</v>
      </c>
      <c r="B665" t="s">
        <v>14</v>
      </c>
      <c r="C665">
        <v>2023</v>
      </c>
      <c r="D665" t="s">
        <v>33</v>
      </c>
      <c r="E665" t="s">
        <v>20</v>
      </c>
      <c r="F665">
        <v>1732</v>
      </c>
      <c r="G665">
        <v>15.37</v>
      </c>
      <c r="H665">
        <v>14.7</v>
      </c>
      <c r="I665">
        <v>38</v>
      </c>
      <c r="J665" t="s">
        <v>17</v>
      </c>
      <c r="K665" s="14">
        <f>COUNTIFS(B:B,"Alpha_Inc",E:E,"Delivered")/COUNTIF(B:B,"Alpha_Inc")</f>
        <v>0.75886524822695034</v>
      </c>
      <c r="L665" s="15">
        <v>25460.400000000001</v>
      </c>
      <c r="M665" s="15">
        <v>1160.44</v>
      </c>
      <c r="N665" s="14">
        <f t="shared" si="20"/>
        <v>2.1939953810623556E-2</v>
      </c>
      <c r="O665" s="1">
        <v>0.94</v>
      </c>
      <c r="P665" s="1">
        <f t="shared" si="21"/>
        <v>4.3591411841249185E-2</v>
      </c>
    </row>
    <row r="666" spans="1:16" x14ac:dyDescent="0.45">
      <c r="A666" t="s">
        <v>24</v>
      </c>
      <c r="B666" t="s">
        <v>25</v>
      </c>
      <c r="C666">
        <v>2022</v>
      </c>
      <c r="D666" t="s">
        <v>26</v>
      </c>
      <c r="E666" t="s">
        <v>20</v>
      </c>
      <c r="F666">
        <v>491</v>
      </c>
      <c r="G666">
        <v>12.01</v>
      </c>
      <c r="H666">
        <v>11.67</v>
      </c>
      <c r="I666">
        <v>47</v>
      </c>
      <c r="J666" t="s">
        <v>17</v>
      </c>
      <c r="K666" s="14">
        <f>COUNTIFS(B:B,"Beta_Supplies",E:E,"Delivered") / COUNTIF(B:B,"Beta_Supplies")</f>
        <v>0.70512820512820518</v>
      </c>
      <c r="L666" s="15">
        <v>5729.97</v>
      </c>
      <c r="M666" s="15">
        <v>166.94</v>
      </c>
      <c r="N666" s="14">
        <f t="shared" si="20"/>
        <v>9.5723014256619138E-2</v>
      </c>
      <c r="O666" s="1">
        <v>0.76</v>
      </c>
      <c r="P666" s="1">
        <f t="shared" si="21"/>
        <v>2.8309741881765185E-2</v>
      </c>
    </row>
    <row r="667" spans="1:16" x14ac:dyDescent="0.45">
      <c r="A667" t="s">
        <v>21</v>
      </c>
      <c r="B667" t="s">
        <v>22</v>
      </c>
      <c r="C667">
        <v>2022</v>
      </c>
      <c r="D667" t="s">
        <v>26</v>
      </c>
      <c r="E667" t="s">
        <v>16</v>
      </c>
      <c r="F667">
        <v>1681</v>
      </c>
      <c r="G667">
        <v>99.88</v>
      </c>
      <c r="H667">
        <v>96.38</v>
      </c>
      <c r="I667">
        <v>90</v>
      </c>
      <c r="J667" t="s">
        <v>17</v>
      </c>
      <c r="K667" s="14">
        <f>COUNTIFS(B:B,"Gamma_Co",E:E,"Cancelled") / COUNTIF(B:B,"Gamma_Co")</f>
        <v>4.195804195804196E-2</v>
      </c>
      <c r="L667" s="15">
        <v>162014.78</v>
      </c>
      <c r="M667" s="15">
        <v>5883.5</v>
      </c>
      <c r="N667" s="14">
        <f t="shared" si="20"/>
        <v>5.353955978584176E-2</v>
      </c>
      <c r="O667" s="1">
        <v>0.86</v>
      </c>
      <c r="P667" s="1">
        <f t="shared" si="21"/>
        <v>3.5042050460552664E-2</v>
      </c>
    </row>
    <row r="668" spans="1:16" x14ac:dyDescent="0.45">
      <c r="A668" t="s">
        <v>13</v>
      </c>
      <c r="B668" t="s">
        <v>14</v>
      </c>
      <c r="C668">
        <v>2023</v>
      </c>
      <c r="D668" t="s">
        <v>27</v>
      </c>
      <c r="E668" t="s">
        <v>31</v>
      </c>
      <c r="F668">
        <v>818</v>
      </c>
      <c r="G668">
        <v>51.89</v>
      </c>
      <c r="H668">
        <v>47.85</v>
      </c>
      <c r="I668">
        <v>12</v>
      </c>
      <c r="J668" t="s">
        <v>17</v>
      </c>
      <c r="K668" s="14">
        <f>COUNTIFS(B:B,"Alpha_Inc",E:E,"Partially Delivered")/COUNTIF(B:B,"Alpha_Inc")</f>
        <v>7.0921985815602842E-2</v>
      </c>
      <c r="L668" s="15">
        <v>39141.300000000003</v>
      </c>
      <c r="M668" s="15">
        <v>3304.72</v>
      </c>
      <c r="N668" s="14">
        <f t="shared" si="20"/>
        <v>1.4669926650366748E-2</v>
      </c>
      <c r="O668" s="1">
        <v>0.94</v>
      </c>
      <c r="P668" s="1">
        <f t="shared" si="21"/>
        <v>7.7857005203314691E-2</v>
      </c>
    </row>
    <row r="669" spans="1:16" x14ac:dyDescent="0.45">
      <c r="A669" t="s">
        <v>24</v>
      </c>
      <c r="B669" t="s">
        <v>25</v>
      </c>
      <c r="C669">
        <v>2023</v>
      </c>
      <c r="D669" t="s">
        <v>15</v>
      </c>
      <c r="E669" t="s">
        <v>20</v>
      </c>
      <c r="F669">
        <v>1065</v>
      </c>
      <c r="G669">
        <v>47.49</v>
      </c>
      <c r="H669">
        <v>41.42</v>
      </c>
      <c r="I669">
        <v>113</v>
      </c>
      <c r="J669" t="s">
        <v>17</v>
      </c>
      <c r="K669" s="14">
        <f>COUNTIFS(B:B,"Beta_Supplies",E:E,"Delivered") / COUNTIF(B:B,"Beta_Supplies")</f>
        <v>0.70512820512820518</v>
      </c>
      <c r="L669" s="15">
        <v>44112.3</v>
      </c>
      <c r="M669" s="15">
        <v>6464.55</v>
      </c>
      <c r="N669" s="14">
        <f t="shared" si="20"/>
        <v>0.10610328638497653</v>
      </c>
      <c r="O669" s="1">
        <v>0.76</v>
      </c>
      <c r="P669" s="1">
        <f t="shared" si="21"/>
        <v>0.12781638239629395</v>
      </c>
    </row>
    <row r="670" spans="1:16" x14ac:dyDescent="0.45">
      <c r="A670" t="s">
        <v>21</v>
      </c>
      <c r="B670" t="s">
        <v>22</v>
      </c>
      <c r="C670">
        <v>2022</v>
      </c>
      <c r="D670" t="s">
        <v>26</v>
      </c>
      <c r="E670" t="s">
        <v>20</v>
      </c>
      <c r="F670">
        <v>1398</v>
      </c>
      <c r="G670">
        <v>75.08</v>
      </c>
      <c r="H670">
        <v>67.09</v>
      </c>
      <c r="I670">
        <v>57</v>
      </c>
      <c r="J670" t="s">
        <v>17</v>
      </c>
      <c r="K670" s="14">
        <f>COUNTIFS(B:B,"Gamma_Co",E:E,"Delivered") / COUNTIF(B:B,"Gamma_Co")</f>
        <v>0.72027972027972031</v>
      </c>
      <c r="L670" s="15">
        <v>93791.82</v>
      </c>
      <c r="M670" s="15">
        <v>11170.02</v>
      </c>
      <c r="N670" s="14">
        <f t="shared" si="20"/>
        <v>4.07725321888412E-2</v>
      </c>
      <c r="O670" s="1">
        <v>0.86</v>
      </c>
      <c r="P670" s="1">
        <f t="shared" si="21"/>
        <v>0.10641981885988272</v>
      </c>
    </row>
    <row r="671" spans="1:16" x14ac:dyDescent="0.45">
      <c r="A671" t="s">
        <v>24</v>
      </c>
      <c r="B671" t="s">
        <v>25</v>
      </c>
      <c r="C671">
        <v>2023</v>
      </c>
      <c r="D671" t="s">
        <v>26</v>
      </c>
      <c r="E671" t="s">
        <v>20</v>
      </c>
      <c r="F671">
        <v>565</v>
      </c>
      <c r="G671">
        <v>32.31</v>
      </c>
      <c r="H671">
        <v>29.76</v>
      </c>
      <c r="I671">
        <v>60</v>
      </c>
      <c r="J671" t="s">
        <v>17</v>
      </c>
      <c r="K671" s="14">
        <f>COUNTIFS(B:B,"Beta_Supplies",E:E,"Delivered") / COUNTIF(B:B,"Beta_Supplies")</f>
        <v>0.70512820512820518</v>
      </c>
      <c r="L671" s="15">
        <v>16814.400000000001</v>
      </c>
      <c r="M671" s="15">
        <v>1440.75</v>
      </c>
      <c r="N671" s="14">
        <f t="shared" si="20"/>
        <v>0.10619469026548672</v>
      </c>
      <c r="O671" s="1">
        <v>0.76</v>
      </c>
      <c r="P671" s="1">
        <f t="shared" si="21"/>
        <v>7.892293407613743E-2</v>
      </c>
    </row>
    <row r="672" spans="1:16" x14ac:dyDescent="0.45">
      <c r="A672" t="s">
        <v>29</v>
      </c>
      <c r="B672" t="s">
        <v>30</v>
      </c>
      <c r="C672">
        <v>2023</v>
      </c>
      <c r="D672" t="s">
        <v>26</v>
      </c>
      <c r="E672" t="s">
        <v>32</v>
      </c>
      <c r="F672">
        <v>1089</v>
      </c>
      <c r="G672">
        <v>102.66</v>
      </c>
      <c r="H672">
        <v>89.21</v>
      </c>
      <c r="I672">
        <v>33</v>
      </c>
      <c r="J672" t="s">
        <v>17</v>
      </c>
      <c r="K672" s="14">
        <f>COUNTIFS(B:B,"Epsilon_Group",E:E,"Pending") / COUNTIF(B:B,"Epsilon_Group")</f>
        <v>0.10843373493975904</v>
      </c>
      <c r="L672" s="15">
        <v>97149.69</v>
      </c>
      <c r="M672" s="15">
        <v>14647.05</v>
      </c>
      <c r="N672" s="14">
        <f t="shared" si="20"/>
        <v>3.0303030303030304E-2</v>
      </c>
      <c r="O672" s="1">
        <v>0.98</v>
      </c>
      <c r="P672" s="1">
        <f t="shared" si="21"/>
        <v>0.13101500097408925</v>
      </c>
    </row>
    <row r="673" spans="1:18" x14ac:dyDescent="0.45">
      <c r="A673" t="s">
        <v>18</v>
      </c>
      <c r="B673" t="s">
        <v>19</v>
      </c>
      <c r="C673">
        <v>2023</v>
      </c>
      <c r="D673" t="s">
        <v>33</v>
      </c>
      <c r="E673" t="s">
        <v>20</v>
      </c>
      <c r="F673">
        <v>841</v>
      </c>
      <c r="G673">
        <v>86.43</v>
      </c>
      <c r="H673">
        <v>83.77</v>
      </c>
      <c r="I673">
        <v>125</v>
      </c>
      <c r="J673" t="s">
        <v>28</v>
      </c>
      <c r="K673" s="14">
        <f>COUNTIFS(B:B,"Delta_Logistics",E:E,"Delivered") / COUNTIF(B:B,"Delta_Logistics")</f>
        <v>0.70175438596491224</v>
      </c>
      <c r="L673" s="15">
        <v>70450.570000000007</v>
      </c>
      <c r="M673" s="15">
        <v>2237.06</v>
      </c>
      <c r="N673" s="14">
        <f t="shared" si="20"/>
        <v>0.14863258026159334</v>
      </c>
      <c r="O673" s="1">
        <v>0.39</v>
      </c>
      <c r="P673" s="1">
        <f t="shared" si="21"/>
        <v>3.0776350804119064E-2</v>
      </c>
    </row>
    <row r="674" spans="1:18" x14ac:dyDescent="0.45">
      <c r="A674" t="s">
        <v>18</v>
      </c>
      <c r="B674" t="s">
        <v>19</v>
      </c>
      <c r="C674">
        <v>2022</v>
      </c>
      <c r="D674" t="s">
        <v>33</v>
      </c>
      <c r="E674" t="s">
        <v>20</v>
      </c>
      <c r="F674">
        <v>385</v>
      </c>
      <c r="G674">
        <v>18.23</v>
      </c>
      <c r="H674">
        <v>17.739999999999998</v>
      </c>
      <c r="I674">
        <v>155</v>
      </c>
      <c r="J674" t="s">
        <v>17</v>
      </c>
      <c r="K674" s="14">
        <f>COUNTIFS(B:B,"Delta_Logistics",E:E,"Delivered") / COUNTIF(B:B,"Delta_Logistics")</f>
        <v>0.70175438596491224</v>
      </c>
      <c r="L674" s="15">
        <v>6829.9</v>
      </c>
      <c r="M674" s="15">
        <v>188.65</v>
      </c>
      <c r="N674" s="14">
        <f t="shared" si="20"/>
        <v>0.40259740259740262</v>
      </c>
      <c r="O674" s="1">
        <v>0.61</v>
      </c>
      <c r="P674" s="1">
        <f t="shared" si="21"/>
        <v>2.6878771256171254E-2</v>
      </c>
    </row>
    <row r="675" spans="1:18" x14ac:dyDescent="0.45">
      <c r="A675" t="s">
        <v>29</v>
      </c>
      <c r="B675" t="s">
        <v>30</v>
      </c>
      <c r="C675">
        <v>2022</v>
      </c>
      <c r="D675" t="s">
        <v>15</v>
      </c>
      <c r="E675" t="s">
        <v>20</v>
      </c>
      <c r="F675">
        <v>1832</v>
      </c>
      <c r="G675">
        <v>49.01</v>
      </c>
      <c r="H675">
        <v>41.86</v>
      </c>
      <c r="I675">
        <v>52</v>
      </c>
      <c r="J675" t="s">
        <v>17</v>
      </c>
      <c r="K675" s="14">
        <f>COUNTIFS(B:B,"Epsilon_Group",E:E,"Delivered") / COUNTIF(B:B,"Epsilon_Group")</f>
        <v>0.72289156626506024</v>
      </c>
      <c r="L675" s="15">
        <v>76687.520000000004</v>
      </c>
      <c r="M675" s="15">
        <v>13098.8</v>
      </c>
      <c r="N675" s="14">
        <f t="shared" si="20"/>
        <v>2.8384279475982533E-2</v>
      </c>
      <c r="O675" s="1">
        <v>0.98</v>
      </c>
      <c r="P675" s="1">
        <f t="shared" si="21"/>
        <v>0.14588859416445621</v>
      </c>
    </row>
    <row r="676" spans="1:18" x14ac:dyDescent="0.45">
      <c r="A676" t="s">
        <v>24</v>
      </c>
      <c r="B676" t="s">
        <v>25</v>
      </c>
      <c r="C676">
        <v>2023</v>
      </c>
      <c r="D676" t="s">
        <v>27</v>
      </c>
      <c r="E676" t="s">
        <v>20</v>
      </c>
      <c r="F676">
        <v>307</v>
      </c>
      <c r="G676">
        <v>95.36</v>
      </c>
      <c r="H676">
        <v>83.63</v>
      </c>
      <c r="I676">
        <v>29</v>
      </c>
      <c r="J676" t="s">
        <v>17</v>
      </c>
      <c r="K676" s="14">
        <f>COUNTIFS(B:B,"Beta_Supplies",E:E,"Delivered") / COUNTIF(B:B,"Beta_Supplies")</f>
        <v>0.70512820512820518</v>
      </c>
      <c r="L676" s="15">
        <v>25674.41</v>
      </c>
      <c r="M676" s="15">
        <v>3601.11</v>
      </c>
      <c r="N676" s="14">
        <f t="shared" si="20"/>
        <v>9.4462540716612378E-2</v>
      </c>
      <c r="O676" s="1">
        <v>0.76</v>
      </c>
      <c r="P676" s="1">
        <f t="shared" si="21"/>
        <v>0.12300755033557051</v>
      </c>
    </row>
    <row r="677" spans="1:18" x14ac:dyDescent="0.45">
      <c r="A677" t="s">
        <v>29</v>
      </c>
      <c r="B677" t="s">
        <v>30</v>
      </c>
      <c r="C677">
        <v>2023</v>
      </c>
      <c r="D677" t="s">
        <v>15</v>
      </c>
      <c r="E677" t="s">
        <v>20</v>
      </c>
      <c r="F677">
        <v>546</v>
      </c>
      <c r="G677">
        <v>101.2</v>
      </c>
      <c r="H677">
        <v>97.82</v>
      </c>
      <c r="I677">
        <v>21</v>
      </c>
      <c r="J677" t="s">
        <v>17</v>
      </c>
      <c r="K677" s="14">
        <f>COUNTIFS(B:B,"Epsilon_Group",E:E,"Delivered") / COUNTIF(B:B,"Epsilon_Group")</f>
        <v>0.72289156626506024</v>
      </c>
      <c r="L677" s="15">
        <v>53409.72</v>
      </c>
      <c r="M677" s="15">
        <v>1845.48</v>
      </c>
      <c r="N677" s="14">
        <f t="shared" si="20"/>
        <v>3.8461538461538464E-2</v>
      </c>
      <c r="O677" s="1">
        <v>0.98</v>
      </c>
      <c r="P677" s="1">
        <f t="shared" si="21"/>
        <v>3.33992094861661E-2</v>
      </c>
    </row>
    <row r="678" spans="1:18" x14ac:dyDescent="0.45">
      <c r="A678" t="s">
        <v>18</v>
      </c>
      <c r="B678" t="s">
        <v>19</v>
      </c>
      <c r="C678">
        <v>2023</v>
      </c>
      <c r="D678" t="s">
        <v>27</v>
      </c>
      <c r="E678" t="s">
        <v>20</v>
      </c>
      <c r="F678">
        <v>945</v>
      </c>
      <c r="G678">
        <v>57.01</v>
      </c>
      <c r="H678">
        <v>55.14</v>
      </c>
      <c r="I678">
        <v>147</v>
      </c>
      <c r="J678" t="s">
        <v>28</v>
      </c>
      <c r="K678" s="14">
        <f>COUNTIFS(B:B,"Delta_Logistics",E:E,"Delivered") / COUNTIF(B:B,"Delta_Logistics")</f>
        <v>0.70175438596491224</v>
      </c>
      <c r="L678" s="15">
        <v>52107.3</v>
      </c>
      <c r="M678" s="15">
        <v>1767.15</v>
      </c>
      <c r="N678" s="14">
        <f t="shared" si="20"/>
        <v>0.15555555555555556</v>
      </c>
      <c r="O678" s="1">
        <v>0.39</v>
      </c>
      <c r="P678" s="1">
        <f t="shared" si="21"/>
        <v>3.2801262936326916E-2</v>
      </c>
    </row>
    <row r="679" spans="1:18" x14ac:dyDescent="0.45">
      <c r="A679" t="s">
        <v>18</v>
      </c>
      <c r="B679" t="s">
        <v>19</v>
      </c>
      <c r="C679">
        <v>2023</v>
      </c>
      <c r="D679" t="s">
        <v>23</v>
      </c>
      <c r="E679" t="s">
        <v>32</v>
      </c>
      <c r="F679">
        <v>209</v>
      </c>
      <c r="G679">
        <v>72.709999999999994</v>
      </c>
      <c r="H679">
        <v>64.34</v>
      </c>
      <c r="I679">
        <v>39</v>
      </c>
      <c r="J679" t="s">
        <v>17</v>
      </c>
      <c r="K679" s="14">
        <f>COUNTIFS(B:B,"Delta_Logistics",E:E,"Pending") / COUNTIF(B:B,"Delta_Logistics")</f>
        <v>9.9415204678362568E-2</v>
      </c>
      <c r="L679" s="15">
        <v>13447.06</v>
      </c>
      <c r="M679" s="15">
        <v>1749.33</v>
      </c>
      <c r="N679" s="14">
        <f t="shared" si="20"/>
        <v>0.18660287081339713</v>
      </c>
      <c r="O679" s="1">
        <v>0.61</v>
      </c>
      <c r="P679" s="1">
        <f t="shared" si="21"/>
        <v>0.11511483977444631</v>
      </c>
    </row>
    <row r="680" spans="1:18" x14ac:dyDescent="0.45">
      <c r="A680" t="s">
        <v>24</v>
      </c>
      <c r="B680" t="s">
        <v>25</v>
      </c>
      <c r="C680">
        <v>2022</v>
      </c>
      <c r="D680" t="s">
        <v>26</v>
      </c>
      <c r="E680" t="s">
        <v>20</v>
      </c>
      <c r="F680">
        <v>1548</v>
      </c>
      <c r="G680">
        <v>25.03</v>
      </c>
      <c r="H680">
        <v>22.87</v>
      </c>
      <c r="I680">
        <v>105</v>
      </c>
      <c r="J680" t="s">
        <v>17</v>
      </c>
      <c r="K680" s="14">
        <f>COUNTIFS(B:B,"Beta_Supplies",E:E,"Delivered") / COUNTIF(B:B,"Beta_Supplies")</f>
        <v>0.70512820512820518</v>
      </c>
      <c r="L680" s="15">
        <v>35402.76</v>
      </c>
      <c r="M680" s="15">
        <v>3343.68</v>
      </c>
      <c r="N680" s="14">
        <f t="shared" si="20"/>
        <v>6.7829457364341081E-2</v>
      </c>
      <c r="O680" s="1">
        <v>0.76</v>
      </c>
      <c r="P680" s="1">
        <f t="shared" si="21"/>
        <v>8.629644426687974E-2</v>
      </c>
      <c r="R680">
        <f>COUNTIFS(B:B,"Beta_Supplies",E:E,"Delivered")/COUNTIF(B:B,"Beta_Supplies")</f>
        <v>0.70512820512820518</v>
      </c>
    </row>
    <row r="681" spans="1:18" x14ac:dyDescent="0.45">
      <c r="A681" t="s">
        <v>18</v>
      </c>
      <c r="B681" t="s">
        <v>19</v>
      </c>
      <c r="C681">
        <v>2023</v>
      </c>
      <c r="D681" t="s">
        <v>27</v>
      </c>
      <c r="E681" t="s">
        <v>20</v>
      </c>
      <c r="F681">
        <v>901</v>
      </c>
      <c r="G681">
        <v>108.63</v>
      </c>
      <c r="H681">
        <v>106.3</v>
      </c>
      <c r="I681">
        <v>141</v>
      </c>
      <c r="J681" t="s">
        <v>17</v>
      </c>
      <c r="K681" s="14">
        <f>COUNTIFS(B:B,"Delta_Logistics",E:E,"Delivered") / COUNTIF(B:B,"Delta_Logistics")</f>
        <v>0.70175438596491224</v>
      </c>
      <c r="L681" s="15">
        <v>95776.3</v>
      </c>
      <c r="M681" s="15">
        <v>2099.33</v>
      </c>
      <c r="N681" s="14">
        <f t="shared" si="20"/>
        <v>0.15649278579356271</v>
      </c>
      <c r="O681" s="1">
        <v>0.61</v>
      </c>
      <c r="P681" s="1">
        <f t="shared" si="21"/>
        <v>2.1448955168922014E-2</v>
      </c>
    </row>
    <row r="682" spans="1:18" x14ac:dyDescent="0.45">
      <c r="A682" t="s">
        <v>29</v>
      </c>
      <c r="B682" t="s">
        <v>30</v>
      </c>
      <c r="C682">
        <v>2023</v>
      </c>
      <c r="D682" t="s">
        <v>26</v>
      </c>
      <c r="E682" t="s">
        <v>20</v>
      </c>
      <c r="F682">
        <v>1737</v>
      </c>
      <c r="G682">
        <v>32.700000000000003</v>
      </c>
      <c r="H682">
        <v>31.02</v>
      </c>
      <c r="I682">
        <v>48</v>
      </c>
      <c r="J682" t="s">
        <v>17</v>
      </c>
      <c r="K682" s="14">
        <f>COUNTIFS(B:B,"Epsilon_Group",E:E,"Delivered") / COUNTIF(B:B,"Epsilon_Group")</f>
        <v>0.72289156626506024</v>
      </c>
      <c r="L682" s="15">
        <v>53881.74</v>
      </c>
      <c r="M682" s="15">
        <v>2918.16</v>
      </c>
      <c r="N682" s="14">
        <f t="shared" si="20"/>
        <v>2.7633851468048358E-2</v>
      </c>
      <c r="O682" s="1">
        <v>0.98</v>
      </c>
      <c r="P682" s="1">
        <f t="shared" si="21"/>
        <v>5.1376146788990919E-2</v>
      </c>
    </row>
    <row r="683" spans="1:18" x14ac:dyDescent="0.45">
      <c r="A683" t="s">
        <v>24</v>
      </c>
      <c r="B683" t="s">
        <v>25</v>
      </c>
      <c r="C683">
        <v>2023</v>
      </c>
      <c r="D683" t="s">
        <v>27</v>
      </c>
      <c r="E683" t="s">
        <v>20</v>
      </c>
      <c r="F683">
        <v>1981</v>
      </c>
      <c r="G683">
        <v>102.43</v>
      </c>
      <c r="H683">
        <v>90.99</v>
      </c>
      <c r="I683">
        <v>204</v>
      </c>
      <c r="J683" t="s">
        <v>17</v>
      </c>
      <c r="K683" s="14">
        <f>COUNTIFS(B:B,"Beta_Supplies",E:E,"Delivered") / COUNTIF(B:B,"Beta_Supplies")</f>
        <v>0.70512820512820518</v>
      </c>
      <c r="L683" s="15">
        <v>180251.19</v>
      </c>
      <c r="M683" s="15">
        <v>22662.639999999999</v>
      </c>
      <c r="N683" s="14">
        <f t="shared" si="20"/>
        <v>0.10297829379101464</v>
      </c>
      <c r="O683" s="1">
        <v>0.76</v>
      </c>
      <c r="P683" s="1">
        <f t="shared" si="21"/>
        <v>0.11168602948354985</v>
      </c>
    </row>
    <row r="684" spans="1:18" x14ac:dyDescent="0.45">
      <c r="A684" t="s">
        <v>29</v>
      </c>
      <c r="B684" t="s">
        <v>30</v>
      </c>
      <c r="C684">
        <v>2022</v>
      </c>
      <c r="D684" t="s">
        <v>23</v>
      </c>
      <c r="E684" t="s">
        <v>32</v>
      </c>
      <c r="F684">
        <v>739</v>
      </c>
      <c r="G684">
        <v>68.47</v>
      </c>
      <c r="H684">
        <v>66.09</v>
      </c>
      <c r="I684">
        <v>19</v>
      </c>
      <c r="J684" t="s">
        <v>17</v>
      </c>
      <c r="K684" s="14">
        <f>COUNTIFS(B:B,"Epsilon_Group",E:E,"Pending") / COUNTIF(B:B,"Epsilon_Group")</f>
        <v>0.10843373493975904</v>
      </c>
      <c r="L684" s="15">
        <v>48840.51</v>
      </c>
      <c r="M684" s="15">
        <v>1758.82</v>
      </c>
      <c r="N684" s="14">
        <f t="shared" si="20"/>
        <v>2.571041948579161E-2</v>
      </c>
      <c r="O684" s="1">
        <v>0.98</v>
      </c>
      <c r="P684" s="1">
        <f t="shared" si="21"/>
        <v>3.4759748795092672E-2</v>
      </c>
    </row>
    <row r="685" spans="1:18" x14ac:dyDescent="0.45">
      <c r="A685" t="s">
        <v>24</v>
      </c>
      <c r="B685" t="s">
        <v>25</v>
      </c>
      <c r="C685">
        <v>2022</v>
      </c>
      <c r="D685" t="s">
        <v>27</v>
      </c>
      <c r="E685" t="s">
        <v>20</v>
      </c>
      <c r="F685">
        <v>1748</v>
      </c>
      <c r="G685">
        <v>68.25</v>
      </c>
      <c r="H685">
        <v>62.84</v>
      </c>
      <c r="I685">
        <v>171</v>
      </c>
      <c r="J685" t="s">
        <v>17</v>
      </c>
      <c r="K685" s="14">
        <f>COUNTIFS(B:B,"Beta_Supplies",E:E,"Delivered") / COUNTIF(B:B,"Beta_Supplies")</f>
        <v>0.70512820512820518</v>
      </c>
      <c r="L685" s="15">
        <v>109844.32</v>
      </c>
      <c r="M685" s="15">
        <v>9456.68</v>
      </c>
      <c r="N685" s="14">
        <f t="shared" si="20"/>
        <v>9.7826086956521743E-2</v>
      </c>
      <c r="O685" s="1">
        <v>0.76</v>
      </c>
      <c r="P685" s="1">
        <f t="shared" si="21"/>
        <v>7.9267399267399216E-2</v>
      </c>
    </row>
    <row r="686" spans="1:18" x14ac:dyDescent="0.45">
      <c r="A686" t="s">
        <v>18</v>
      </c>
      <c r="B686" t="s">
        <v>19</v>
      </c>
      <c r="C686">
        <v>2022</v>
      </c>
      <c r="D686" t="s">
        <v>15</v>
      </c>
      <c r="E686" t="s">
        <v>16</v>
      </c>
      <c r="F686">
        <v>429</v>
      </c>
      <c r="G686">
        <v>58.95</v>
      </c>
      <c r="H686">
        <v>55.35</v>
      </c>
      <c r="I686">
        <v>59</v>
      </c>
      <c r="J686" t="s">
        <v>28</v>
      </c>
      <c r="K686" s="14">
        <f>COUNTIFS(B:B,"Delta_Logistics",E:E,"Cancelled") / COUNTIF(B:B,"Delta_Logistics")</f>
        <v>9.3567251461988299E-2</v>
      </c>
      <c r="L686" s="15">
        <v>23745.15</v>
      </c>
      <c r="M686" s="15">
        <v>1544.4</v>
      </c>
      <c r="N686" s="14">
        <f t="shared" si="20"/>
        <v>0.13752913752913754</v>
      </c>
      <c r="O686" s="1">
        <v>0.39</v>
      </c>
      <c r="P686" s="1">
        <f t="shared" si="21"/>
        <v>6.1068702290076354E-2</v>
      </c>
    </row>
    <row r="687" spans="1:18" x14ac:dyDescent="0.45">
      <c r="A687" t="s">
        <v>21</v>
      </c>
      <c r="B687" t="s">
        <v>22</v>
      </c>
      <c r="C687">
        <v>2023</v>
      </c>
      <c r="D687" t="s">
        <v>33</v>
      </c>
      <c r="E687" t="s">
        <v>20</v>
      </c>
      <c r="F687">
        <v>1618</v>
      </c>
      <c r="G687">
        <v>32.76</v>
      </c>
      <c r="H687">
        <v>28.41</v>
      </c>
      <c r="I687">
        <v>62</v>
      </c>
      <c r="J687" t="s">
        <v>17</v>
      </c>
      <c r="K687" s="14">
        <f>COUNTIFS(B:B,"Gamma_Co",E:E,"Delivered") / COUNTIF(B:B,"Gamma_Co")</f>
        <v>0.72027972027972031</v>
      </c>
      <c r="L687" s="15">
        <v>45967.38</v>
      </c>
      <c r="M687" s="15">
        <v>7038.3</v>
      </c>
      <c r="N687" s="14">
        <f t="shared" si="20"/>
        <v>3.8318912237330034E-2</v>
      </c>
      <c r="O687" s="1">
        <v>0.86</v>
      </c>
      <c r="P687" s="1">
        <f t="shared" si="21"/>
        <v>0.13278388278388273</v>
      </c>
    </row>
    <row r="688" spans="1:18" x14ac:dyDescent="0.45">
      <c r="A688" t="s">
        <v>24</v>
      </c>
      <c r="B688" t="s">
        <v>25</v>
      </c>
      <c r="C688">
        <v>2023</v>
      </c>
      <c r="D688" t="s">
        <v>26</v>
      </c>
      <c r="E688" t="s">
        <v>20</v>
      </c>
      <c r="F688">
        <v>1006</v>
      </c>
      <c r="G688">
        <v>27.7</v>
      </c>
      <c r="H688">
        <v>23.66</v>
      </c>
      <c r="I688">
        <v>101</v>
      </c>
      <c r="J688" t="s">
        <v>28</v>
      </c>
      <c r="K688" s="14">
        <f>COUNTIFS(B:B,"Beta_Supplies",E:E,"Delivered") / COUNTIF(B:B,"Beta_Supplies")</f>
        <v>0.70512820512820518</v>
      </c>
      <c r="L688" s="15">
        <v>23801.96</v>
      </c>
      <c r="M688" s="15">
        <v>4064.24</v>
      </c>
      <c r="N688" s="14">
        <f t="shared" si="20"/>
        <v>0.10039761431411531</v>
      </c>
      <c r="O688" s="1">
        <v>0.24</v>
      </c>
      <c r="P688" s="1">
        <f t="shared" si="21"/>
        <v>0.1458483754512635</v>
      </c>
    </row>
    <row r="689" spans="1:16" x14ac:dyDescent="0.45">
      <c r="A689" t="s">
        <v>24</v>
      </c>
      <c r="B689" t="s">
        <v>25</v>
      </c>
      <c r="C689">
        <v>2023</v>
      </c>
      <c r="D689" t="s">
        <v>33</v>
      </c>
      <c r="E689" t="s">
        <v>31</v>
      </c>
      <c r="F689">
        <v>740</v>
      </c>
      <c r="G689">
        <v>32.53</v>
      </c>
      <c r="H689">
        <v>29.35</v>
      </c>
      <c r="I689">
        <v>84</v>
      </c>
      <c r="J689" t="s">
        <v>17</v>
      </c>
      <c r="K689" s="14">
        <f>COUNTIFS(B:B,"Beta_Supplies",E:E,"Partially Delivered") / COUNTIF(B:B,"Beta_Supplies")</f>
        <v>8.3333333333333329E-2</v>
      </c>
      <c r="L689" s="15">
        <v>21719</v>
      </c>
      <c r="M689" s="15">
        <v>2353.1999999999998</v>
      </c>
      <c r="N689" s="14">
        <f t="shared" si="20"/>
        <v>0.11351351351351352</v>
      </c>
      <c r="O689" s="1">
        <v>0.76</v>
      </c>
      <c r="P689" s="1">
        <f t="shared" si="21"/>
        <v>9.7755917614509677E-2</v>
      </c>
    </row>
    <row r="690" spans="1:16" x14ac:dyDescent="0.45">
      <c r="A690" t="s">
        <v>21</v>
      </c>
      <c r="B690" t="s">
        <v>22</v>
      </c>
      <c r="C690">
        <v>2023</v>
      </c>
      <c r="D690" t="s">
        <v>27</v>
      </c>
      <c r="E690" t="s">
        <v>20</v>
      </c>
      <c r="F690">
        <v>1500</v>
      </c>
      <c r="G690">
        <v>29.19</v>
      </c>
      <c r="H690">
        <v>27.24</v>
      </c>
      <c r="I690">
        <v>72</v>
      </c>
      <c r="J690" t="s">
        <v>17</v>
      </c>
      <c r="K690" s="14">
        <f>COUNTIFS(B:B,"Gamma_Co",E:E,"Delivered") / COUNTIF(B:B,"Gamma_Co")</f>
        <v>0.72027972027972031</v>
      </c>
      <c r="L690" s="15">
        <v>40860</v>
      </c>
      <c r="M690" s="15">
        <v>2925</v>
      </c>
      <c r="N690" s="14">
        <f t="shared" si="20"/>
        <v>4.8000000000000001E-2</v>
      </c>
      <c r="O690" s="1">
        <v>0.86</v>
      </c>
      <c r="P690" s="1">
        <f t="shared" si="21"/>
        <v>6.6803699897225177E-2</v>
      </c>
    </row>
    <row r="691" spans="1:16" x14ac:dyDescent="0.45">
      <c r="A691" t="s">
        <v>18</v>
      </c>
      <c r="B691" t="s">
        <v>19</v>
      </c>
      <c r="C691">
        <v>2023</v>
      </c>
      <c r="D691" t="s">
        <v>15</v>
      </c>
      <c r="E691" t="s">
        <v>16</v>
      </c>
      <c r="F691">
        <v>1686</v>
      </c>
      <c r="G691">
        <v>88.18</v>
      </c>
      <c r="H691">
        <v>77.150000000000006</v>
      </c>
      <c r="I691">
        <v>155</v>
      </c>
      <c r="J691" t="s">
        <v>17</v>
      </c>
      <c r="K691" s="14">
        <f>COUNTIFS(B:B,"Delta_Logistics",E:E,"Cancelled") / COUNTIF(B:B,"Delta_Logistics")</f>
        <v>9.3567251461988299E-2</v>
      </c>
      <c r="L691" s="15">
        <v>130074.9</v>
      </c>
      <c r="M691" s="15">
        <v>18596.580000000002</v>
      </c>
      <c r="N691" s="14">
        <f t="shared" si="20"/>
        <v>9.1933570581257409E-2</v>
      </c>
      <c r="O691" s="1">
        <v>0.61</v>
      </c>
      <c r="P691" s="1">
        <f t="shared" si="21"/>
        <v>0.12508505330006806</v>
      </c>
    </row>
    <row r="692" spans="1:16" x14ac:dyDescent="0.45">
      <c r="A692" t="s">
        <v>29</v>
      </c>
      <c r="B692" t="s">
        <v>30</v>
      </c>
      <c r="C692">
        <v>2022</v>
      </c>
      <c r="D692" t="s">
        <v>27</v>
      </c>
      <c r="E692" t="s">
        <v>16</v>
      </c>
      <c r="F692">
        <v>1341</v>
      </c>
      <c r="G692">
        <v>42.96</v>
      </c>
      <c r="H692">
        <v>41.75</v>
      </c>
      <c r="I692">
        <v>39</v>
      </c>
      <c r="J692" t="s">
        <v>17</v>
      </c>
      <c r="K692" s="14">
        <f>COUNTIFS(B:B,"Epsilon_Group",E:E,"Cancelled") / COUNTIF(B:B,"Epsilon_Group")</f>
        <v>8.4337349397590355E-2</v>
      </c>
      <c r="L692" s="15">
        <v>55986.75</v>
      </c>
      <c r="M692" s="15">
        <v>1622.61</v>
      </c>
      <c r="N692" s="14">
        <f t="shared" si="20"/>
        <v>2.9082774049217001E-2</v>
      </c>
      <c r="O692" s="1">
        <v>0.98</v>
      </c>
      <c r="P692" s="1">
        <f t="shared" si="21"/>
        <v>2.8165735567970224E-2</v>
      </c>
    </row>
    <row r="693" spans="1:16" x14ac:dyDescent="0.45">
      <c r="A693" t="s">
        <v>13</v>
      </c>
      <c r="B693" t="s">
        <v>14</v>
      </c>
      <c r="C693">
        <v>2023</v>
      </c>
      <c r="D693" t="s">
        <v>23</v>
      </c>
      <c r="E693" t="s">
        <v>16</v>
      </c>
      <c r="F693">
        <v>1908</v>
      </c>
      <c r="G693">
        <v>16.420000000000002</v>
      </c>
      <c r="H693">
        <v>15.31</v>
      </c>
      <c r="I693">
        <v>36</v>
      </c>
      <c r="J693" t="s">
        <v>17</v>
      </c>
      <c r="K693" s="14">
        <f>COUNTIFS(B:B,"Alpha_Inc",E:E,"Cancelled") / COUNTIF(B:B,"Alpha_Inc")</f>
        <v>9.2198581560283682E-2</v>
      </c>
      <c r="L693" s="15">
        <v>29211.48</v>
      </c>
      <c r="M693" s="15">
        <v>2117.88</v>
      </c>
      <c r="N693" s="14">
        <f t="shared" si="20"/>
        <v>1.8867924528301886E-2</v>
      </c>
      <c r="O693" s="1">
        <v>0.94</v>
      </c>
      <c r="P693" s="1">
        <f t="shared" si="21"/>
        <v>6.7600487210718707E-2</v>
      </c>
    </row>
    <row r="694" spans="1:16" x14ac:dyDescent="0.45">
      <c r="A694" t="s">
        <v>21</v>
      </c>
      <c r="B694" t="s">
        <v>22</v>
      </c>
      <c r="C694">
        <v>2022</v>
      </c>
      <c r="D694" t="s">
        <v>23</v>
      </c>
      <c r="E694" t="s">
        <v>31</v>
      </c>
      <c r="F694">
        <v>1650</v>
      </c>
      <c r="G694">
        <v>100.62</v>
      </c>
      <c r="H694">
        <v>90.45</v>
      </c>
      <c r="I694">
        <v>85</v>
      </c>
      <c r="J694" t="s">
        <v>17</v>
      </c>
      <c r="K694" s="14">
        <f>COUNTIFS(B:B,"Gamma_Co",E:E,"Partially Delivered") / COUNTIF(B:B,"Gamma_Co")</f>
        <v>0.12587412587412589</v>
      </c>
      <c r="L694" s="15">
        <v>149242.5</v>
      </c>
      <c r="M694" s="15">
        <v>16780.5</v>
      </c>
      <c r="N694" s="14">
        <f t="shared" si="20"/>
        <v>5.1515151515151514E-2</v>
      </c>
      <c r="O694" s="1">
        <v>0.86</v>
      </c>
      <c r="P694" s="1">
        <f t="shared" si="21"/>
        <v>0.10107334525939178</v>
      </c>
    </row>
    <row r="695" spans="1:16" x14ac:dyDescent="0.45">
      <c r="A695" t="s">
        <v>13</v>
      </c>
      <c r="B695" t="s">
        <v>14</v>
      </c>
      <c r="C695">
        <v>2022</v>
      </c>
      <c r="D695" t="s">
        <v>23</v>
      </c>
      <c r="E695" t="s">
        <v>20</v>
      </c>
      <c r="F695">
        <v>1490</v>
      </c>
      <c r="G695">
        <v>93.57</v>
      </c>
      <c r="H695">
        <v>81.680000000000007</v>
      </c>
      <c r="I695">
        <v>29</v>
      </c>
      <c r="J695" t="s">
        <v>17</v>
      </c>
      <c r="K695" s="14">
        <f>COUNTIFS(B:B,"Alpha_Inc",E:E,"Delivered")/COUNTIF(B:B,"Alpha_Inc")</f>
        <v>0.75886524822695034</v>
      </c>
      <c r="L695" s="15">
        <v>121703.2</v>
      </c>
      <c r="M695" s="15">
        <v>17716.099999999999</v>
      </c>
      <c r="N695" s="14">
        <f t="shared" si="20"/>
        <v>1.9463087248322148E-2</v>
      </c>
      <c r="O695" s="1">
        <v>0.94</v>
      </c>
      <c r="P695" s="1">
        <f t="shared" si="21"/>
        <v>0.1270706422998823</v>
      </c>
    </row>
    <row r="696" spans="1:16" x14ac:dyDescent="0.45">
      <c r="A696" t="s">
        <v>18</v>
      </c>
      <c r="B696" t="s">
        <v>19</v>
      </c>
      <c r="C696">
        <v>2023</v>
      </c>
      <c r="D696" t="s">
        <v>27</v>
      </c>
      <c r="E696" t="s">
        <v>20</v>
      </c>
      <c r="F696">
        <v>1241</v>
      </c>
      <c r="G696">
        <v>100.04</v>
      </c>
      <c r="H696">
        <v>97.56</v>
      </c>
      <c r="I696">
        <v>187</v>
      </c>
      <c r="J696" t="s">
        <v>17</v>
      </c>
      <c r="K696" s="14">
        <f>COUNTIFS(B:B,"Delta_Logistics",E:E,"Delivered") / COUNTIF(B:B,"Delta_Logistics")</f>
        <v>0.70175438596491224</v>
      </c>
      <c r="L696" s="15">
        <v>121071.96</v>
      </c>
      <c r="M696" s="15">
        <v>3077.68</v>
      </c>
      <c r="N696" s="14">
        <f t="shared" si="20"/>
        <v>0.15068493150684931</v>
      </c>
      <c r="O696" s="1">
        <v>0.61</v>
      </c>
      <c r="P696" s="1">
        <f t="shared" si="21"/>
        <v>2.4790083966413475E-2</v>
      </c>
    </row>
    <row r="697" spans="1:16" x14ac:dyDescent="0.45">
      <c r="A697" t="s">
        <v>24</v>
      </c>
      <c r="B697" t="s">
        <v>25</v>
      </c>
      <c r="C697">
        <v>2023</v>
      </c>
      <c r="D697" t="s">
        <v>23</v>
      </c>
      <c r="E697" t="s">
        <v>20</v>
      </c>
      <c r="F697">
        <v>1915</v>
      </c>
      <c r="G697">
        <v>107.51</v>
      </c>
      <c r="H697">
        <v>102.66</v>
      </c>
      <c r="I697">
        <v>184</v>
      </c>
      <c r="J697" t="s">
        <v>17</v>
      </c>
      <c r="K697" s="14">
        <f>COUNTIFS(B:B,"Beta_Supplies",E:E,"Delivered") / COUNTIF(B:B,"Beta_Supplies")</f>
        <v>0.70512820512820518</v>
      </c>
      <c r="L697" s="15">
        <v>196593.9</v>
      </c>
      <c r="M697" s="15">
        <v>9287.75</v>
      </c>
      <c r="N697" s="14">
        <f t="shared" si="20"/>
        <v>9.608355091383812E-2</v>
      </c>
      <c r="O697" s="1">
        <v>0.76</v>
      </c>
      <c r="P697" s="1">
        <f t="shared" si="21"/>
        <v>4.5112082596967799E-2</v>
      </c>
    </row>
    <row r="698" spans="1:16" x14ac:dyDescent="0.45">
      <c r="A698" t="s">
        <v>24</v>
      </c>
      <c r="B698" t="s">
        <v>25</v>
      </c>
      <c r="C698">
        <v>2022</v>
      </c>
      <c r="D698" t="s">
        <v>27</v>
      </c>
      <c r="E698" t="s">
        <v>20</v>
      </c>
      <c r="F698">
        <v>1116</v>
      </c>
      <c r="G698">
        <v>25.65</v>
      </c>
      <c r="H698">
        <v>24.28</v>
      </c>
      <c r="I698">
        <v>121</v>
      </c>
      <c r="J698" t="s">
        <v>17</v>
      </c>
      <c r="K698" s="14">
        <f>COUNTIFS(B:B,"Beta_Supplies",E:E,"Delivered") / COUNTIF(B:B,"Beta_Supplies")</f>
        <v>0.70512820512820518</v>
      </c>
      <c r="L698" s="15">
        <v>27096.48</v>
      </c>
      <c r="M698" s="15">
        <v>1528.92</v>
      </c>
      <c r="N698" s="14">
        <f t="shared" si="20"/>
        <v>0.10842293906810035</v>
      </c>
      <c r="O698" s="1">
        <v>0.76</v>
      </c>
      <c r="P698" s="1">
        <f t="shared" si="21"/>
        <v>5.3411306042884896E-2</v>
      </c>
    </row>
    <row r="699" spans="1:16" x14ac:dyDescent="0.45">
      <c r="A699" t="s">
        <v>18</v>
      </c>
      <c r="B699" t="s">
        <v>19</v>
      </c>
      <c r="C699">
        <v>2023</v>
      </c>
      <c r="D699" t="s">
        <v>27</v>
      </c>
      <c r="E699" t="s">
        <v>20</v>
      </c>
      <c r="F699">
        <v>1629</v>
      </c>
      <c r="G699">
        <v>48.63</v>
      </c>
      <c r="H699">
        <v>43.28</v>
      </c>
      <c r="I699">
        <v>260</v>
      </c>
      <c r="J699" t="s">
        <v>17</v>
      </c>
      <c r="K699" s="14">
        <f>COUNTIFS(B:B,"Delta_Logistics",E:E,"Delivered") / COUNTIF(B:B,"Delta_Logistics")</f>
        <v>0.70175438596491224</v>
      </c>
      <c r="L699" s="15">
        <v>70503.12</v>
      </c>
      <c r="M699" s="15">
        <v>8715.15</v>
      </c>
      <c r="N699" s="14">
        <f t="shared" si="20"/>
        <v>0.15960712093308779</v>
      </c>
      <c r="O699" s="1">
        <v>0.61</v>
      </c>
      <c r="P699" s="1">
        <f t="shared" si="21"/>
        <v>0.11001439440674483</v>
      </c>
    </row>
    <row r="700" spans="1:16" x14ac:dyDescent="0.45">
      <c r="A700" t="s">
        <v>29</v>
      </c>
      <c r="B700" t="s">
        <v>30</v>
      </c>
      <c r="C700">
        <v>2022</v>
      </c>
      <c r="D700" t="s">
        <v>15</v>
      </c>
      <c r="E700" t="s">
        <v>20</v>
      </c>
      <c r="F700">
        <v>334</v>
      </c>
      <c r="G700">
        <v>82.54</v>
      </c>
      <c r="H700">
        <v>74.63</v>
      </c>
      <c r="I700">
        <v>33</v>
      </c>
      <c r="J700" t="s">
        <v>17</v>
      </c>
      <c r="K700" s="14">
        <f>COUNTIFS(B:B,"Epsilon_Group",E:E,"Delivered") / COUNTIF(B:B,"Epsilon_Group")</f>
        <v>0.72289156626506024</v>
      </c>
      <c r="L700" s="15">
        <v>24926.42</v>
      </c>
      <c r="M700" s="15">
        <v>2641.94</v>
      </c>
      <c r="N700" s="14">
        <f t="shared" si="20"/>
        <v>9.880239520958084E-2</v>
      </c>
      <c r="O700" s="1">
        <v>0.98</v>
      </c>
      <c r="P700" s="1">
        <f t="shared" si="21"/>
        <v>9.5832323721831966E-2</v>
      </c>
    </row>
    <row r="701" spans="1:16" x14ac:dyDescent="0.45">
      <c r="A701" t="s">
        <v>29</v>
      </c>
      <c r="B701" t="s">
        <v>30</v>
      </c>
      <c r="C701">
        <v>2023</v>
      </c>
      <c r="D701" t="s">
        <v>26</v>
      </c>
      <c r="E701" t="s">
        <v>20</v>
      </c>
      <c r="F701">
        <v>446</v>
      </c>
      <c r="G701">
        <v>80.63</v>
      </c>
      <c r="H701">
        <v>70.37</v>
      </c>
      <c r="I701">
        <v>33</v>
      </c>
      <c r="J701" t="s">
        <v>17</v>
      </c>
      <c r="K701" s="14">
        <f>COUNTIFS(B:B,"Epsilon_Group",E:E,"Delivered") / COUNTIF(B:B,"Epsilon_Group")</f>
        <v>0.72289156626506024</v>
      </c>
      <c r="L701" s="15">
        <v>31385.02</v>
      </c>
      <c r="M701" s="15">
        <v>4575.96</v>
      </c>
      <c r="N701" s="14">
        <f t="shared" si="20"/>
        <v>7.3991031390134535E-2</v>
      </c>
      <c r="O701" s="1">
        <v>0.98</v>
      </c>
      <c r="P701" s="1">
        <f t="shared" si="21"/>
        <v>0.12724792260945048</v>
      </c>
    </row>
    <row r="702" spans="1:16" x14ac:dyDescent="0.45">
      <c r="A702" t="s">
        <v>18</v>
      </c>
      <c r="B702" t="s">
        <v>19</v>
      </c>
      <c r="C702">
        <v>2023</v>
      </c>
      <c r="D702" t="s">
        <v>33</v>
      </c>
      <c r="E702" t="s">
        <v>20</v>
      </c>
      <c r="F702">
        <v>61</v>
      </c>
      <c r="G702">
        <v>26.47</v>
      </c>
      <c r="H702">
        <v>24.62</v>
      </c>
      <c r="I702">
        <v>6</v>
      </c>
      <c r="J702" t="s">
        <v>17</v>
      </c>
      <c r="K702" s="14">
        <f>COUNTIFS(B:B,"Delta_Logistics",E:E,"Delivered") / COUNTIF(B:B,"Delta_Logistics")</f>
        <v>0.70175438596491224</v>
      </c>
      <c r="L702" s="15">
        <v>1501.82</v>
      </c>
      <c r="M702" s="15">
        <v>112.85</v>
      </c>
      <c r="N702" s="14">
        <f t="shared" si="20"/>
        <v>9.8360655737704916E-2</v>
      </c>
      <c r="O702" s="1">
        <v>0.61</v>
      </c>
      <c r="P702" s="1">
        <f t="shared" si="21"/>
        <v>6.9890442009822362E-2</v>
      </c>
    </row>
    <row r="703" spans="1:16" x14ac:dyDescent="0.45">
      <c r="A703" t="s">
        <v>18</v>
      </c>
      <c r="B703" t="s">
        <v>19</v>
      </c>
      <c r="C703">
        <v>2023</v>
      </c>
      <c r="D703" t="s">
        <v>26</v>
      </c>
      <c r="E703" t="s">
        <v>20</v>
      </c>
      <c r="F703">
        <v>1680</v>
      </c>
      <c r="G703">
        <v>88.85</v>
      </c>
      <c r="H703">
        <v>87.53</v>
      </c>
      <c r="I703">
        <v>155</v>
      </c>
      <c r="J703" t="s">
        <v>17</v>
      </c>
      <c r="K703" s="14">
        <f>COUNTIFS(B:B,"Delta_Logistics",E:E,"Delivered") / COUNTIF(B:B,"Delta_Logistics")</f>
        <v>0.70175438596491224</v>
      </c>
      <c r="L703" s="15">
        <v>147050.4</v>
      </c>
      <c r="M703" s="15">
        <v>2217.6</v>
      </c>
      <c r="N703" s="14">
        <f t="shared" si="20"/>
        <v>9.2261904761904767E-2</v>
      </c>
      <c r="O703" s="1">
        <v>0.61</v>
      </c>
      <c r="P703" s="1">
        <f t="shared" si="21"/>
        <v>1.4856499718626823E-2</v>
      </c>
    </row>
    <row r="704" spans="1:16" x14ac:dyDescent="0.45">
      <c r="A704" t="s">
        <v>18</v>
      </c>
      <c r="B704" t="s">
        <v>19</v>
      </c>
      <c r="C704">
        <v>2022</v>
      </c>
      <c r="D704" t="s">
        <v>33</v>
      </c>
      <c r="E704" t="s">
        <v>20</v>
      </c>
      <c r="F704">
        <v>1375</v>
      </c>
      <c r="G704">
        <v>30.95</v>
      </c>
      <c r="H704">
        <v>30.02</v>
      </c>
      <c r="I704">
        <v>223</v>
      </c>
      <c r="J704" t="s">
        <v>17</v>
      </c>
      <c r="K704" s="14">
        <f>COUNTIFS(B:B,"Delta_Logistics",E:E,"Delivered") / COUNTIF(B:B,"Delta_Logistics")</f>
        <v>0.70175438596491224</v>
      </c>
      <c r="L704" s="15">
        <v>41277.5</v>
      </c>
      <c r="M704" s="15">
        <v>1278.75</v>
      </c>
      <c r="N704" s="14">
        <f t="shared" si="20"/>
        <v>0.16218181818181818</v>
      </c>
      <c r="O704" s="1">
        <v>0.61</v>
      </c>
      <c r="P704" s="1">
        <f t="shared" si="21"/>
        <v>3.0048465266558959E-2</v>
      </c>
    </row>
    <row r="705" spans="1:16" x14ac:dyDescent="0.45">
      <c r="A705" t="s">
        <v>18</v>
      </c>
      <c r="B705" t="s">
        <v>19</v>
      </c>
      <c r="C705">
        <v>2023</v>
      </c>
      <c r="D705" t="s">
        <v>33</v>
      </c>
      <c r="E705" t="s">
        <v>31</v>
      </c>
      <c r="F705">
        <v>1971</v>
      </c>
      <c r="G705">
        <v>32.4</v>
      </c>
      <c r="H705">
        <v>30.48</v>
      </c>
      <c r="I705">
        <v>321</v>
      </c>
      <c r="J705" t="s">
        <v>17</v>
      </c>
      <c r="K705" s="14">
        <f>COUNTIFS(B:B,"Delta_Logistics",E:E,"Partially Delivered") / COUNTIF(B:B,"Delta_Logistics")</f>
        <v>0.10526315789473684</v>
      </c>
      <c r="L705" s="15">
        <v>60076.08</v>
      </c>
      <c r="M705" s="15">
        <v>3784.32</v>
      </c>
      <c r="N705" s="14">
        <f t="shared" si="20"/>
        <v>0.16286149162861491</v>
      </c>
      <c r="O705" s="1">
        <v>0.61</v>
      </c>
      <c r="P705" s="1">
        <f t="shared" si="21"/>
        <v>5.9259259259259206E-2</v>
      </c>
    </row>
    <row r="706" spans="1:16" x14ac:dyDescent="0.45">
      <c r="A706" t="s">
        <v>18</v>
      </c>
      <c r="B706" t="s">
        <v>19</v>
      </c>
      <c r="C706">
        <v>2022</v>
      </c>
      <c r="D706" t="s">
        <v>27</v>
      </c>
      <c r="E706" t="s">
        <v>32</v>
      </c>
      <c r="F706">
        <v>1326</v>
      </c>
      <c r="G706">
        <v>59.49</v>
      </c>
      <c r="H706">
        <v>56.21</v>
      </c>
      <c r="I706">
        <v>155</v>
      </c>
      <c r="J706" t="s">
        <v>17</v>
      </c>
      <c r="K706" s="14">
        <f>COUNTIFS(B:B,"Delta_Logistics",E:E,"Pending") / COUNTIF(B:B,"Delta_Logistics")</f>
        <v>9.9415204678362568E-2</v>
      </c>
      <c r="L706" s="15">
        <v>74534.460000000006</v>
      </c>
      <c r="M706" s="15">
        <v>4349.28</v>
      </c>
      <c r="N706" s="14">
        <f t="shared" ref="N706:N769" si="22">I706/F706</f>
        <v>0.11689291101055807</v>
      </c>
      <c r="O706" s="1">
        <v>0.61</v>
      </c>
      <c r="P706" s="1">
        <f t="shared" si="21"/>
        <v>5.5135316859976483E-2</v>
      </c>
    </row>
    <row r="707" spans="1:16" x14ac:dyDescent="0.45">
      <c r="A707" t="s">
        <v>18</v>
      </c>
      <c r="B707" t="s">
        <v>19</v>
      </c>
      <c r="C707">
        <v>2023</v>
      </c>
      <c r="D707" t="s">
        <v>23</v>
      </c>
      <c r="E707" t="s">
        <v>16</v>
      </c>
      <c r="F707">
        <v>548</v>
      </c>
      <c r="G707">
        <v>69.7</v>
      </c>
      <c r="H707">
        <v>61.87</v>
      </c>
      <c r="I707">
        <v>90</v>
      </c>
      <c r="J707" t="s">
        <v>17</v>
      </c>
      <c r="K707" s="14">
        <f>COUNTIFS(B:B,"Delta_Logistics",E:E,"Cancelled") / COUNTIF(B:B,"Delta_Logistics")</f>
        <v>9.3567251461988299E-2</v>
      </c>
      <c r="L707" s="15">
        <v>33904.76</v>
      </c>
      <c r="M707" s="15">
        <v>4290.84</v>
      </c>
      <c r="N707" s="14">
        <f t="shared" si="22"/>
        <v>0.16423357664233576</v>
      </c>
      <c r="O707" s="1">
        <v>0.61</v>
      </c>
      <c r="P707" s="1">
        <f t="shared" ref="P707:P770" si="23">((G707-H707)/G707)</f>
        <v>0.1123385939741751</v>
      </c>
    </row>
    <row r="708" spans="1:16" x14ac:dyDescent="0.45">
      <c r="A708" t="s">
        <v>24</v>
      </c>
      <c r="B708" t="s">
        <v>25</v>
      </c>
      <c r="C708">
        <v>2023</v>
      </c>
      <c r="D708" t="s">
        <v>23</v>
      </c>
      <c r="E708" t="s">
        <v>20</v>
      </c>
      <c r="F708">
        <v>803</v>
      </c>
      <c r="G708">
        <v>67.81</v>
      </c>
      <c r="H708">
        <v>61.53</v>
      </c>
      <c r="I708">
        <v>78</v>
      </c>
      <c r="J708" t="s">
        <v>17</v>
      </c>
      <c r="K708" s="14">
        <f>COUNTIFS(B:B,"Beta_Supplies",E:E,"Delivered") / COUNTIF(B:B,"Beta_Supplies")</f>
        <v>0.70512820512820518</v>
      </c>
      <c r="L708" s="15">
        <v>49408.59</v>
      </c>
      <c r="M708" s="15">
        <v>5042.84</v>
      </c>
      <c r="N708" s="14">
        <f t="shared" si="22"/>
        <v>9.7135740971357409E-2</v>
      </c>
      <c r="O708" s="1">
        <v>0.76</v>
      </c>
      <c r="P708" s="1">
        <f t="shared" si="23"/>
        <v>9.2611709187435498E-2</v>
      </c>
    </row>
    <row r="709" spans="1:16" x14ac:dyDescent="0.45">
      <c r="A709" t="s">
        <v>13</v>
      </c>
      <c r="B709" t="s">
        <v>14</v>
      </c>
      <c r="C709">
        <v>2022</v>
      </c>
      <c r="D709" t="s">
        <v>23</v>
      </c>
      <c r="E709" t="s">
        <v>20</v>
      </c>
      <c r="F709">
        <v>84</v>
      </c>
      <c r="G709">
        <v>18.23</v>
      </c>
      <c r="H709">
        <v>15.55</v>
      </c>
      <c r="I709">
        <v>0</v>
      </c>
      <c r="J709" t="s">
        <v>17</v>
      </c>
      <c r="K709" s="14">
        <f>COUNTIFS(B:B,"Alpha_Inc",E:E,"Delivered")/COUNTIF(B:B,"Alpha_Inc")</f>
        <v>0.75886524822695034</v>
      </c>
      <c r="L709" s="15">
        <v>1306.2</v>
      </c>
      <c r="M709" s="15">
        <v>225.12</v>
      </c>
      <c r="N709" s="14">
        <f t="shared" si="22"/>
        <v>0</v>
      </c>
      <c r="O709" s="1">
        <v>0.94</v>
      </c>
      <c r="P709" s="1">
        <f t="shared" si="23"/>
        <v>0.14701042238069115</v>
      </c>
    </row>
    <row r="710" spans="1:16" x14ac:dyDescent="0.45">
      <c r="A710" t="s">
        <v>29</v>
      </c>
      <c r="B710" t="s">
        <v>30</v>
      </c>
      <c r="C710">
        <v>2023</v>
      </c>
      <c r="D710" t="s">
        <v>26</v>
      </c>
      <c r="E710" t="s">
        <v>20</v>
      </c>
      <c r="F710">
        <v>776</v>
      </c>
      <c r="G710">
        <v>94.75</v>
      </c>
      <c r="H710">
        <v>90.89</v>
      </c>
      <c r="I710">
        <v>19</v>
      </c>
      <c r="J710" t="s">
        <v>17</v>
      </c>
      <c r="K710" s="14">
        <f>COUNTIFS(B:B,"Epsilon_Group",E:E,"Delivered") / COUNTIF(B:B,"Epsilon_Group")</f>
        <v>0.72289156626506024</v>
      </c>
      <c r="L710" s="15">
        <v>70530.64</v>
      </c>
      <c r="M710" s="15">
        <v>2995.36</v>
      </c>
      <c r="N710" s="14">
        <f t="shared" si="22"/>
        <v>2.4484536082474227E-2</v>
      </c>
      <c r="O710" s="1">
        <v>0.98</v>
      </c>
      <c r="P710" s="1">
        <f t="shared" si="23"/>
        <v>4.0738786279683373E-2</v>
      </c>
    </row>
    <row r="711" spans="1:16" x14ac:dyDescent="0.45">
      <c r="A711" t="s">
        <v>13</v>
      </c>
      <c r="B711" t="s">
        <v>14</v>
      </c>
      <c r="C711">
        <v>2023</v>
      </c>
      <c r="D711" t="s">
        <v>23</v>
      </c>
      <c r="E711" t="s">
        <v>20</v>
      </c>
      <c r="F711">
        <v>898</v>
      </c>
      <c r="G711">
        <v>37.119999999999997</v>
      </c>
      <c r="H711">
        <v>35.54</v>
      </c>
      <c r="I711">
        <v>18</v>
      </c>
      <c r="J711" t="s">
        <v>28</v>
      </c>
      <c r="K711" s="14">
        <f>COUNTIFS(B:B,"Alpha_Inc",E:E,"Delivered")/COUNTIF(B:B,"Alpha_Inc")</f>
        <v>0.75886524822695034</v>
      </c>
      <c r="L711" s="15">
        <v>31914.92</v>
      </c>
      <c r="M711" s="15">
        <v>1418.84</v>
      </c>
      <c r="N711" s="14">
        <f t="shared" si="22"/>
        <v>2.0044543429844099E-2</v>
      </c>
      <c r="O711" s="1">
        <v>0.06</v>
      </c>
      <c r="P711" s="1">
        <f t="shared" si="23"/>
        <v>4.256465517241375E-2</v>
      </c>
    </row>
    <row r="712" spans="1:16" x14ac:dyDescent="0.45">
      <c r="A712" t="s">
        <v>24</v>
      </c>
      <c r="B712" t="s">
        <v>25</v>
      </c>
      <c r="C712">
        <v>2023</v>
      </c>
      <c r="D712" t="s">
        <v>15</v>
      </c>
      <c r="E712" t="s">
        <v>16</v>
      </c>
      <c r="F712">
        <v>139</v>
      </c>
      <c r="G712">
        <v>23.71</v>
      </c>
      <c r="H712">
        <v>20.18</v>
      </c>
      <c r="I712">
        <v>14</v>
      </c>
      <c r="J712" t="s">
        <v>17</v>
      </c>
      <c r="K712" s="14">
        <f>COUNTIFS(B:B,"Beta_Supplies",E:E,"Cancelled")/COUNTIF(B:B,"Beta_Supplies")</f>
        <v>8.9743589743589744E-2</v>
      </c>
      <c r="L712" s="15">
        <v>2805.02</v>
      </c>
      <c r="M712" s="15">
        <v>490.67</v>
      </c>
      <c r="N712" s="14">
        <f t="shared" si="22"/>
        <v>0.10071942446043165</v>
      </c>
      <c r="O712" s="1">
        <v>0.76</v>
      </c>
      <c r="P712" s="1">
        <f t="shared" si="23"/>
        <v>0.14888232813159008</v>
      </c>
    </row>
    <row r="713" spans="1:16" x14ac:dyDescent="0.45">
      <c r="A713" t="s">
        <v>21</v>
      </c>
      <c r="B713" t="s">
        <v>22</v>
      </c>
      <c r="C713">
        <v>2023</v>
      </c>
      <c r="D713" t="s">
        <v>27</v>
      </c>
      <c r="E713" t="s">
        <v>20</v>
      </c>
      <c r="F713">
        <v>825</v>
      </c>
      <c r="G713">
        <v>99.89</v>
      </c>
      <c r="H713">
        <v>97.65</v>
      </c>
      <c r="I713">
        <v>30</v>
      </c>
      <c r="J713" t="s">
        <v>17</v>
      </c>
      <c r="K713" s="14">
        <f>COUNTIFS(B:B,"Gamma_Co",E:E,"Delivered") / COUNTIF(B:B,"Gamma_Co")</f>
        <v>0.72027972027972031</v>
      </c>
      <c r="L713" s="15">
        <v>80561.25</v>
      </c>
      <c r="M713" s="15">
        <v>1848</v>
      </c>
      <c r="N713" s="14">
        <f t="shared" si="22"/>
        <v>3.6363636363636362E-2</v>
      </c>
      <c r="O713" s="1">
        <v>0.86</v>
      </c>
      <c r="P713" s="1">
        <f t="shared" si="23"/>
        <v>2.2424667133847182E-2</v>
      </c>
    </row>
    <row r="714" spans="1:16" x14ac:dyDescent="0.45">
      <c r="A714" t="s">
        <v>13</v>
      </c>
      <c r="B714" t="s">
        <v>14</v>
      </c>
      <c r="C714">
        <v>2022</v>
      </c>
      <c r="D714" t="s">
        <v>23</v>
      </c>
      <c r="E714" t="s">
        <v>20</v>
      </c>
      <c r="F714">
        <v>654</v>
      </c>
      <c r="G714">
        <v>96.01</v>
      </c>
      <c r="H714">
        <v>90.31</v>
      </c>
      <c r="I714">
        <v>10</v>
      </c>
      <c r="J714" t="s">
        <v>17</v>
      </c>
      <c r="K714" s="14">
        <f>COUNTIFS(B:B,"Alpha_Inc",E:E,"Delivered")/COUNTIF(B:B,"Alpha_Inc")</f>
        <v>0.75886524822695034</v>
      </c>
      <c r="L714" s="15">
        <v>59062.74</v>
      </c>
      <c r="M714" s="15">
        <v>3727.8</v>
      </c>
      <c r="N714" s="14">
        <f t="shared" si="22"/>
        <v>1.5290519877675841E-2</v>
      </c>
      <c r="O714" s="1">
        <v>0.94</v>
      </c>
      <c r="P714" s="1">
        <f t="shared" si="23"/>
        <v>5.9368815748359574E-2</v>
      </c>
    </row>
    <row r="715" spans="1:16" x14ac:dyDescent="0.45">
      <c r="A715" t="s">
        <v>21</v>
      </c>
      <c r="B715" t="s">
        <v>22</v>
      </c>
      <c r="C715">
        <v>2022</v>
      </c>
      <c r="D715" t="s">
        <v>23</v>
      </c>
      <c r="E715" t="s">
        <v>20</v>
      </c>
      <c r="F715">
        <v>1995</v>
      </c>
      <c r="G715">
        <v>88.47</v>
      </c>
      <c r="H715">
        <v>82.65</v>
      </c>
      <c r="I715">
        <v>87</v>
      </c>
      <c r="J715" t="s">
        <v>28</v>
      </c>
      <c r="K715" s="14">
        <f>COUNTIFS(B:B,"Gamma_Co",E:E,"Delivered") / COUNTIF(B:B,"Gamma_Co")</f>
        <v>0.72027972027972031</v>
      </c>
      <c r="L715" s="15">
        <v>164886.75</v>
      </c>
      <c r="M715" s="15">
        <v>11610.9</v>
      </c>
      <c r="N715" s="14">
        <f t="shared" si="22"/>
        <v>4.3609022556390979E-2</v>
      </c>
      <c r="O715" s="1">
        <v>0.14000000000000001</v>
      </c>
      <c r="P715" s="1">
        <f t="shared" si="23"/>
        <v>6.5785011868429902E-2</v>
      </c>
    </row>
    <row r="716" spans="1:16" x14ac:dyDescent="0.45">
      <c r="A716" t="s">
        <v>24</v>
      </c>
      <c r="B716" t="s">
        <v>25</v>
      </c>
      <c r="C716">
        <v>2023</v>
      </c>
      <c r="D716" t="s">
        <v>23</v>
      </c>
      <c r="E716" t="s">
        <v>20</v>
      </c>
      <c r="F716">
        <v>1019</v>
      </c>
      <c r="G716">
        <v>91.56</v>
      </c>
      <c r="H716">
        <v>77.930000000000007</v>
      </c>
      <c r="I716">
        <v>111</v>
      </c>
      <c r="J716" t="s">
        <v>28</v>
      </c>
      <c r="K716" s="14">
        <f>COUNTIFS(B:B,"Beta_Supplies",E:E,"Delivered") / COUNTIF(B:B,"Beta_Supplies")</f>
        <v>0.70512820512820518</v>
      </c>
      <c r="L716" s="15">
        <v>79410.67</v>
      </c>
      <c r="M716" s="15">
        <v>13888.97</v>
      </c>
      <c r="N716" s="14">
        <f t="shared" si="22"/>
        <v>0.10893032384690873</v>
      </c>
      <c r="O716" s="1">
        <v>0.24</v>
      </c>
      <c r="P716" s="1">
        <f t="shared" si="23"/>
        <v>0.14886413280908689</v>
      </c>
    </row>
    <row r="717" spans="1:16" x14ac:dyDescent="0.45">
      <c r="A717" t="s">
        <v>29</v>
      </c>
      <c r="B717" t="s">
        <v>30</v>
      </c>
      <c r="C717">
        <v>2023</v>
      </c>
      <c r="D717" t="s">
        <v>26</v>
      </c>
      <c r="E717" t="s">
        <v>32</v>
      </c>
      <c r="F717">
        <v>1675</v>
      </c>
      <c r="G717">
        <v>73.8</v>
      </c>
      <c r="H717">
        <v>65.34</v>
      </c>
      <c r="I717">
        <v>42</v>
      </c>
      <c r="J717" t="s">
        <v>17</v>
      </c>
      <c r="K717" s="14">
        <f>COUNTIFS(B:B,"Epsilon_Group",E:E,"Pending") / COUNTIF(B:B,"Epsilon_Group")</f>
        <v>0.10843373493975904</v>
      </c>
      <c r="L717" s="15">
        <v>109444.5</v>
      </c>
      <c r="M717" s="15">
        <v>14170.5</v>
      </c>
      <c r="N717" s="14">
        <f t="shared" si="22"/>
        <v>2.5074626865671641E-2</v>
      </c>
      <c r="O717" s="1">
        <v>0.98</v>
      </c>
      <c r="P717" s="1">
        <f t="shared" si="23"/>
        <v>0.11463414634146334</v>
      </c>
    </row>
    <row r="718" spans="1:16" x14ac:dyDescent="0.45">
      <c r="A718" t="s">
        <v>21</v>
      </c>
      <c r="B718" t="s">
        <v>22</v>
      </c>
      <c r="C718">
        <v>2022</v>
      </c>
      <c r="D718" t="s">
        <v>27</v>
      </c>
      <c r="E718" t="s">
        <v>32</v>
      </c>
      <c r="F718">
        <v>1071</v>
      </c>
      <c r="G718">
        <v>60.77</v>
      </c>
      <c r="H718">
        <v>58.5</v>
      </c>
      <c r="I718">
        <v>55</v>
      </c>
      <c r="J718" t="s">
        <v>17</v>
      </c>
      <c r="K718" s="14">
        <f>COUNTIFS(B:B,"Gamma_Co",E:E,"Pending") / COUNTIF(B:B,"Gamma_Co")</f>
        <v>0.11188811188811189</v>
      </c>
      <c r="L718" s="15">
        <v>62653.5</v>
      </c>
      <c r="M718" s="15">
        <v>2431.17</v>
      </c>
      <c r="N718" s="14">
        <f t="shared" si="22"/>
        <v>5.1353874883286646E-2</v>
      </c>
      <c r="O718" s="1">
        <v>0.86</v>
      </c>
      <c r="P718" s="1">
        <f t="shared" si="23"/>
        <v>3.7353957544841256E-2</v>
      </c>
    </row>
    <row r="719" spans="1:16" x14ac:dyDescent="0.45">
      <c r="A719" t="s">
        <v>24</v>
      </c>
      <c r="B719" t="s">
        <v>25</v>
      </c>
      <c r="C719">
        <v>2023</v>
      </c>
      <c r="D719" t="s">
        <v>15</v>
      </c>
      <c r="E719" t="s">
        <v>20</v>
      </c>
      <c r="F719">
        <v>467</v>
      </c>
      <c r="G719">
        <v>19.170000000000002</v>
      </c>
      <c r="H719">
        <v>17.11</v>
      </c>
      <c r="I719">
        <v>49</v>
      </c>
      <c r="J719" t="s">
        <v>17</v>
      </c>
      <c r="K719" s="14">
        <f>COUNTIFS(B:B,"Beta_Supplies",E:E,"Delivered") / COUNTIF(B:B,"Beta_Supplies")</f>
        <v>0.70512820512820518</v>
      </c>
      <c r="L719" s="15">
        <v>7990.37</v>
      </c>
      <c r="M719" s="15">
        <v>962.02</v>
      </c>
      <c r="N719" s="14">
        <f t="shared" si="22"/>
        <v>0.10492505353319058</v>
      </c>
      <c r="O719" s="1">
        <v>0.76</v>
      </c>
      <c r="P719" s="1">
        <f t="shared" si="23"/>
        <v>0.10745957224830475</v>
      </c>
    </row>
    <row r="720" spans="1:16" x14ac:dyDescent="0.45">
      <c r="A720" t="s">
        <v>18</v>
      </c>
      <c r="B720" t="s">
        <v>19</v>
      </c>
      <c r="C720">
        <v>2022</v>
      </c>
      <c r="D720" t="s">
        <v>23</v>
      </c>
      <c r="E720" t="s">
        <v>32</v>
      </c>
      <c r="F720">
        <v>164</v>
      </c>
      <c r="G720">
        <v>48.16</v>
      </c>
      <c r="H720">
        <v>47.46</v>
      </c>
      <c r="I720">
        <v>27</v>
      </c>
      <c r="J720" t="s">
        <v>17</v>
      </c>
      <c r="K720" s="14">
        <f>COUNTIFS(B:B,"Delta_Logistics",E:E,"Pending") / COUNTIF(B:B,"Delta_Logistics")</f>
        <v>9.9415204678362568E-2</v>
      </c>
      <c r="L720" s="15">
        <v>7783.44</v>
      </c>
      <c r="M720" s="15">
        <v>114.8</v>
      </c>
      <c r="N720" s="14">
        <f t="shared" si="22"/>
        <v>0.16463414634146342</v>
      </c>
      <c r="O720" s="1">
        <v>0.61</v>
      </c>
      <c r="P720" s="1">
        <f t="shared" si="23"/>
        <v>1.4534883720930146E-2</v>
      </c>
    </row>
    <row r="721" spans="1:16" x14ac:dyDescent="0.45">
      <c r="A721" t="s">
        <v>29</v>
      </c>
      <c r="B721" t="s">
        <v>30</v>
      </c>
      <c r="C721">
        <v>2022</v>
      </c>
      <c r="D721" t="s">
        <v>33</v>
      </c>
      <c r="E721" t="s">
        <v>16</v>
      </c>
      <c r="F721">
        <v>666</v>
      </c>
      <c r="G721">
        <v>43.76</v>
      </c>
      <c r="H721">
        <v>41.13</v>
      </c>
      <c r="I721">
        <v>18</v>
      </c>
      <c r="J721" t="s">
        <v>17</v>
      </c>
      <c r="K721" s="14">
        <f>COUNTIFS(B:B,"Epsilon_Group",E:E,"Cancelled") / COUNTIF(B:B,"Epsilon_Group")</f>
        <v>8.4337349397590355E-2</v>
      </c>
      <c r="L721" s="15">
        <v>27392.58</v>
      </c>
      <c r="M721" s="15">
        <v>1751.58</v>
      </c>
      <c r="N721" s="14">
        <f t="shared" si="22"/>
        <v>2.7027027027027029E-2</v>
      </c>
      <c r="O721" s="1">
        <v>0.98</v>
      </c>
      <c r="P721" s="1">
        <f t="shared" si="23"/>
        <v>6.0100548446069366E-2</v>
      </c>
    </row>
    <row r="722" spans="1:16" x14ac:dyDescent="0.45">
      <c r="A722" t="s">
        <v>18</v>
      </c>
      <c r="B722" t="s">
        <v>19</v>
      </c>
      <c r="C722">
        <v>2022</v>
      </c>
      <c r="D722" t="s">
        <v>26</v>
      </c>
      <c r="E722" t="s">
        <v>31</v>
      </c>
      <c r="F722">
        <v>1976</v>
      </c>
      <c r="G722">
        <v>34.71</v>
      </c>
      <c r="H722">
        <v>31.56</v>
      </c>
      <c r="I722">
        <v>286</v>
      </c>
      <c r="J722" t="s">
        <v>28</v>
      </c>
      <c r="K722" s="14">
        <f>COUNTIFS(B:B,"Delta_Logistics",E:E,"Partially Delivered") / COUNTIF(B:B,"Delta_Logistics")</f>
        <v>0.10526315789473684</v>
      </c>
      <c r="L722" s="15">
        <v>62362.559999999998</v>
      </c>
      <c r="M722" s="15">
        <v>6224.4</v>
      </c>
      <c r="N722" s="14">
        <f t="shared" si="22"/>
        <v>0.14473684210526316</v>
      </c>
      <c r="O722" s="1">
        <v>0.39</v>
      </c>
      <c r="P722" s="1">
        <f t="shared" si="23"/>
        <v>9.0751944684529018E-2</v>
      </c>
    </row>
    <row r="723" spans="1:16" x14ac:dyDescent="0.45">
      <c r="A723" t="s">
        <v>29</v>
      </c>
      <c r="B723" t="s">
        <v>30</v>
      </c>
      <c r="C723">
        <v>2023</v>
      </c>
      <c r="D723" t="s">
        <v>23</v>
      </c>
      <c r="E723" t="s">
        <v>20</v>
      </c>
      <c r="F723">
        <v>1269</v>
      </c>
      <c r="G723">
        <v>79.61</v>
      </c>
      <c r="H723">
        <v>71.86</v>
      </c>
      <c r="I723">
        <v>47</v>
      </c>
      <c r="J723" t="s">
        <v>17</v>
      </c>
      <c r="K723" s="14">
        <f>COUNTIFS(B:B,"Epsilon_Group",E:E,"Delivered") / COUNTIF(B:B,"Epsilon_Group")</f>
        <v>0.72289156626506024</v>
      </c>
      <c r="L723" s="15">
        <v>91190.34</v>
      </c>
      <c r="M723" s="15">
        <v>9834.75</v>
      </c>
      <c r="N723" s="14">
        <f t="shared" si="22"/>
        <v>3.7037037037037035E-2</v>
      </c>
      <c r="O723" s="1">
        <v>0.98</v>
      </c>
      <c r="P723" s="1">
        <f t="shared" si="23"/>
        <v>9.7349579198593147E-2</v>
      </c>
    </row>
    <row r="724" spans="1:16" x14ac:dyDescent="0.45">
      <c r="A724" t="s">
        <v>29</v>
      </c>
      <c r="B724" t="s">
        <v>30</v>
      </c>
      <c r="C724">
        <v>2022</v>
      </c>
      <c r="D724" t="s">
        <v>23</v>
      </c>
      <c r="E724" t="s">
        <v>20</v>
      </c>
      <c r="F724">
        <v>875</v>
      </c>
      <c r="G724">
        <v>57.63</v>
      </c>
      <c r="H724">
        <v>51.8</v>
      </c>
      <c r="I724">
        <v>16</v>
      </c>
      <c r="J724" t="s">
        <v>17</v>
      </c>
      <c r="K724" s="14">
        <f>COUNTIFS(B:B,"Epsilon_Group",E:E,"Delivered") / COUNTIF(B:B,"Epsilon_Group")</f>
        <v>0.72289156626506024</v>
      </c>
      <c r="L724" s="15">
        <v>45325</v>
      </c>
      <c r="M724" s="15">
        <v>5101.25</v>
      </c>
      <c r="N724" s="14">
        <f t="shared" si="22"/>
        <v>1.8285714285714287E-2</v>
      </c>
      <c r="O724" s="1">
        <v>0.98</v>
      </c>
      <c r="P724" s="1">
        <f t="shared" si="23"/>
        <v>0.10116258892937716</v>
      </c>
    </row>
    <row r="725" spans="1:16" x14ac:dyDescent="0.45">
      <c r="A725" t="s">
        <v>13</v>
      </c>
      <c r="B725" t="s">
        <v>14</v>
      </c>
      <c r="C725">
        <v>2022</v>
      </c>
      <c r="D725" t="s">
        <v>26</v>
      </c>
      <c r="E725" t="s">
        <v>31</v>
      </c>
      <c r="F725">
        <v>1574</v>
      </c>
      <c r="G725">
        <v>17.899999999999999</v>
      </c>
      <c r="H725">
        <v>15.85</v>
      </c>
      <c r="I725">
        <v>31</v>
      </c>
      <c r="J725" t="s">
        <v>17</v>
      </c>
      <c r="K725" s="14">
        <f>COUNTIFS(B:B,"Alpha_Inc",E:E,"Partially Delivered")/COUNTIF(B:B,"Alpha_Inc")</f>
        <v>7.0921985815602842E-2</v>
      </c>
      <c r="L725" s="15">
        <v>24947.9</v>
      </c>
      <c r="M725" s="15">
        <v>3226.7</v>
      </c>
      <c r="N725" s="14">
        <f t="shared" si="22"/>
        <v>1.9695044472681066E-2</v>
      </c>
      <c r="O725" s="1">
        <v>0.94</v>
      </c>
      <c r="P725" s="1">
        <f t="shared" si="23"/>
        <v>0.11452513966480442</v>
      </c>
    </row>
    <row r="726" spans="1:16" x14ac:dyDescent="0.45">
      <c r="A726" t="s">
        <v>29</v>
      </c>
      <c r="B726" t="s">
        <v>30</v>
      </c>
      <c r="C726">
        <v>2023</v>
      </c>
      <c r="D726" t="s">
        <v>15</v>
      </c>
      <c r="E726" t="s">
        <v>31</v>
      </c>
      <c r="F726">
        <v>1699</v>
      </c>
      <c r="G726">
        <v>32.049999999999997</v>
      </c>
      <c r="H726">
        <v>29.34</v>
      </c>
      <c r="I726">
        <v>69</v>
      </c>
      <c r="J726" t="s">
        <v>17</v>
      </c>
      <c r="K726" s="14">
        <f>COUNTIFS(B:B,"Epsilon_Group",E:E,"Partially Delivered") / COUNTIF(B:B,"Epsilon_Group")</f>
        <v>8.4337349397590355E-2</v>
      </c>
      <c r="L726" s="15">
        <v>49848.66</v>
      </c>
      <c r="M726" s="15">
        <v>4604.29</v>
      </c>
      <c r="N726" s="14">
        <f t="shared" si="22"/>
        <v>4.061212477928193E-2</v>
      </c>
      <c r="O726" s="1">
        <v>0.98</v>
      </c>
      <c r="P726" s="1">
        <f t="shared" si="23"/>
        <v>8.4555382215288535E-2</v>
      </c>
    </row>
    <row r="727" spans="1:16" x14ac:dyDescent="0.45">
      <c r="A727" t="s">
        <v>13</v>
      </c>
      <c r="B727" t="s">
        <v>14</v>
      </c>
      <c r="C727">
        <v>2022</v>
      </c>
      <c r="D727" t="s">
        <v>33</v>
      </c>
      <c r="E727" t="s">
        <v>20</v>
      </c>
      <c r="F727">
        <v>1566</v>
      </c>
      <c r="G727">
        <v>75.430000000000007</v>
      </c>
      <c r="H727">
        <v>71.27</v>
      </c>
      <c r="I727">
        <v>27</v>
      </c>
      <c r="J727" t="s">
        <v>17</v>
      </c>
      <c r="K727" s="14">
        <f>COUNTIFS(B:B,"Alpha_Inc",E:E,"Delivered")/COUNTIF(B:B,"Alpha_Inc")</f>
        <v>0.75886524822695034</v>
      </c>
      <c r="L727" s="15">
        <v>111608.82</v>
      </c>
      <c r="M727" s="15">
        <v>6514.56</v>
      </c>
      <c r="N727" s="14">
        <f t="shared" si="22"/>
        <v>1.7241379310344827E-2</v>
      </c>
      <c r="O727" s="1">
        <v>0.94</v>
      </c>
      <c r="P727" s="1">
        <f t="shared" si="23"/>
        <v>5.515047063502599E-2</v>
      </c>
    </row>
    <row r="728" spans="1:16" x14ac:dyDescent="0.45">
      <c r="A728" t="s">
        <v>21</v>
      </c>
      <c r="B728" t="s">
        <v>22</v>
      </c>
      <c r="C728">
        <v>2022</v>
      </c>
      <c r="D728" t="s">
        <v>33</v>
      </c>
      <c r="E728" t="s">
        <v>20</v>
      </c>
      <c r="F728">
        <v>1148</v>
      </c>
      <c r="G728">
        <v>17.78</v>
      </c>
      <c r="H728">
        <v>17.16</v>
      </c>
      <c r="I728">
        <v>61</v>
      </c>
      <c r="J728" t="s">
        <v>17</v>
      </c>
      <c r="K728" s="14">
        <f>COUNTIFS(B:B,"Gamma_Co",E:E,"Delivered") / COUNTIF(B:B,"Gamma_Co")</f>
        <v>0.72027972027972031</v>
      </c>
      <c r="L728" s="15">
        <v>19699.68</v>
      </c>
      <c r="M728" s="15">
        <v>711.76</v>
      </c>
      <c r="N728" s="14">
        <f t="shared" si="22"/>
        <v>5.3135888501742161E-2</v>
      </c>
      <c r="O728" s="1">
        <v>0.86</v>
      </c>
      <c r="P728" s="1">
        <f t="shared" si="23"/>
        <v>3.4870641169853819E-2</v>
      </c>
    </row>
    <row r="729" spans="1:16" x14ac:dyDescent="0.45">
      <c r="A729" t="s">
        <v>29</v>
      </c>
      <c r="B729" t="s">
        <v>30</v>
      </c>
      <c r="C729">
        <v>2023</v>
      </c>
      <c r="D729" t="s">
        <v>15</v>
      </c>
      <c r="E729" t="s">
        <v>20</v>
      </c>
      <c r="F729">
        <v>462</v>
      </c>
      <c r="G729">
        <v>91.81</v>
      </c>
      <c r="H729">
        <v>83.14</v>
      </c>
      <c r="I729">
        <v>11</v>
      </c>
      <c r="J729" t="s">
        <v>17</v>
      </c>
      <c r="K729" s="14">
        <f>COUNTIFS(B:B,"Epsilon_Group",E:E,"Delivered") / COUNTIF(B:B,"Epsilon_Group")</f>
        <v>0.72289156626506024</v>
      </c>
      <c r="L729" s="15">
        <v>38410.68</v>
      </c>
      <c r="M729" s="15">
        <v>4005.54</v>
      </c>
      <c r="N729" s="14">
        <f t="shared" si="22"/>
        <v>2.3809523809523808E-2</v>
      </c>
      <c r="O729" s="1">
        <v>0.98</v>
      </c>
      <c r="P729" s="1">
        <f t="shared" si="23"/>
        <v>9.4434157499183116E-2</v>
      </c>
    </row>
    <row r="730" spans="1:16" x14ac:dyDescent="0.45">
      <c r="A730" t="s">
        <v>21</v>
      </c>
      <c r="B730" t="s">
        <v>22</v>
      </c>
      <c r="C730">
        <v>2022</v>
      </c>
      <c r="D730" t="s">
        <v>26</v>
      </c>
      <c r="E730" t="s">
        <v>20</v>
      </c>
      <c r="F730">
        <v>1449</v>
      </c>
      <c r="G730">
        <v>57.02</v>
      </c>
      <c r="H730">
        <v>49.28</v>
      </c>
      <c r="I730">
        <v>71</v>
      </c>
      <c r="J730" t="s">
        <v>17</v>
      </c>
      <c r="K730" s="14">
        <f>COUNTIFS(B:B,"Gamma_Co",E:E,"Delivered") / COUNTIF(B:B,"Gamma_Co")</f>
        <v>0.72027972027972031</v>
      </c>
      <c r="L730" s="15">
        <v>71406.720000000001</v>
      </c>
      <c r="M730" s="15">
        <v>11215.26</v>
      </c>
      <c r="N730" s="14">
        <f t="shared" si="22"/>
        <v>4.8999309868875088E-2</v>
      </c>
      <c r="O730" s="1">
        <v>0.86</v>
      </c>
      <c r="P730" s="1">
        <f t="shared" si="23"/>
        <v>0.13574184496667838</v>
      </c>
    </row>
    <row r="731" spans="1:16" x14ac:dyDescent="0.45">
      <c r="A731" t="s">
        <v>29</v>
      </c>
      <c r="B731" t="s">
        <v>30</v>
      </c>
      <c r="C731">
        <v>2023</v>
      </c>
      <c r="D731" t="s">
        <v>23</v>
      </c>
      <c r="E731" t="s">
        <v>20</v>
      </c>
      <c r="F731">
        <v>1493</v>
      </c>
      <c r="G731">
        <v>56.98</v>
      </c>
      <c r="H731">
        <v>52.51</v>
      </c>
      <c r="I731">
        <v>43</v>
      </c>
      <c r="J731" t="s">
        <v>17</v>
      </c>
      <c r="K731" s="14">
        <f>COUNTIFS(B:B,"Epsilon_Group",E:E,"Delivered") / COUNTIF(B:B,"Epsilon_Group")</f>
        <v>0.72289156626506024</v>
      </c>
      <c r="L731" s="15">
        <v>78397.429999999993</v>
      </c>
      <c r="M731" s="15">
        <v>6673.71</v>
      </c>
      <c r="N731" s="14">
        <f t="shared" si="22"/>
        <v>2.8801071667782986E-2</v>
      </c>
      <c r="O731" s="1">
        <v>0.98</v>
      </c>
      <c r="P731" s="1">
        <f t="shared" si="23"/>
        <v>7.8448578448578429E-2</v>
      </c>
    </row>
    <row r="732" spans="1:16" x14ac:dyDescent="0.45">
      <c r="A732" t="s">
        <v>13</v>
      </c>
      <c r="B732" t="s">
        <v>14</v>
      </c>
      <c r="C732">
        <v>2022</v>
      </c>
      <c r="D732" t="s">
        <v>15</v>
      </c>
      <c r="E732" t="s">
        <v>20</v>
      </c>
      <c r="F732">
        <v>778</v>
      </c>
      <c r="G732">
        <v>65.849999999999994</v>
      </c>
      <c r="H732">
        <v>62.08</v>
      </c>
      <c r="I732">
        <v>24</v>
      </c>
      <c r="J732" t="s">
        <v>28</v>
      </c>
      <c r="K732" s="14">
        <f>COUNTIFS(B:B,"Alpha_Inc",E:E,"Delivered")/COUNTIF(B:B,"Alpha_Inc")</f>
        <v>0.75886524822695034</v>
      </c>
      <c r="L732" s="15">
        <v>48298.239999999998</v>
      </c>
      <c r="M732" s="15">
        <v>2933.06</v>
      </c>
      <c r="N732" s="14">
        <f t="shared" si="22"/>
        <v>3.0848329048843187E-2</v>
      </c>
      <c r="O732" s="1">
        <v>0.06</v>
      </c>
      <c r="P732" s="1">
        <f t="shared" si="23"/>
        <v>5.7251328777524625E-2</v>
      </c>
    </row>
    <row r="733" spans="1:16" x14ac:dyDescent="0.45">
      <c r="A733" t="s">
        <v>18</v>
      </c>
      <c r="B733" t="s">
        <v>19</v>
      </c>
      <c r="C733">
        <v>2022</v>
      </c>
      <c r="D733" t="s">
        <v>26</v>
      </c>
      <c r="E733" t="s">
        <v>31</v>
      </c>
      <c r="F733">
        <v>1350</v>
      </c>
      <c r="G733">
        <v>85.06</v>
      </c>
      <c r="H733">
        <v>82.34</v>
      </c>
      <c r="I733">
        <v>155</v>
      </c>
      <c r="J733" t="s">
        <v>28</v>
      </c>
      <c r="K733" s="14">
        <f>COUNTIFS(B:B,"Delta_Logistics",E:E,"Partially Delivered") / COUNTIF(B:B,"Delta_Logistics")</f>
        <v>0.10526315789473684</v>
      </c>
      <c r="L733" s="15">
        <v>111159</v>
      </c>
      <c r="M733" s="15">
        <v>3672</v>
      </c>
      <c r="N733" s="14">
        <f t="shared" si="22"/>
        <v>0.11481481481481481</v>
      </c>
      <c r="O733" s="1">
        <v>0.39</v>
      </c>
      <c r="P733" s="1">
        <f t="shared" si="23"/>
        <v>3.1977427698095445E-2</v>
      </c>
    </row>
    <row r="734" spans="1:16" x14ac:dyDescent="0.45">
      <c r="A734" t="s">
        <v>29</v>
      </c>
      <c r="B734" t="s">
        <v>30</v>
      </c>
      <c r="C734">
        <v>2023</v>
      </c>
      <c r="D734" t="s">
        <v>26</v>
      </c>
      <c r="E734" t="s">
        <v>20</v>
      </c>
      <c r="F734">
        <v>1070</v>
      </c>
      <c r="G734">
        <v>44.4</v>
      </c>
      <c r="H734">
        <v>40.07</v>
      </c>
      <c r="I734">
        <v>26</v>
      </c>
      <c r="J734" t="s">
        <v>17</v>
      </c>
      <c r="K734" s="14">
        <f>COUNTIFS(B:B,"Epsilon_Group",E:E,"Delivered") / COUNTIF(B:B,"Epsilon_Group")</f>
        <v>0.72289156626506024</v>
      </c>
      <c r="L734" s="15">
        <v>42874.9</v>
      </c>
      <c r="M734" s="15">
        <v>4633.1000000000004</v>
      </c>
      <c r="N734" s="14">
        <f t="shared" si="22"/>
        <v>2.4299065420560748E-2</v>
      </c>
      <c r="O734" s="1">
        <v>0.98</v>
      </c>
      <c r="P734" s="1">
        <f t="shared" si="23"/>
        <v>9.7522522522522484E-2</v>
      </c>
    </row>
    <row r="735" spans="1:16" x14ac:dyDescent="0.45">
      <c r="A735" t="s">
        <v>24</v>
      </c>
      <c r="B735" t="s">
        <v>25</v>
      </c>
      <c r="C735">
        <v>2022</v>
      </c>
      <c r="D735" t="s">
        <v>26</v>
      </c>
      <c r="E735" t="s">
        <v>32</v>
      </c>
      <c r="F735">
        <v>810</v>
      </c>
      <c r="G735">
        <v>71.02</v>
      </c>
      <c r="H735">
        <v>66.8</v>
      </c>
      <c r="I735">
        <v>73</v>
      </c>
      <c r="J735" t="s">
        <v>17</v>
      </c>
      <c r="K735" s="14">
        <f>COUNTIFS(B:B,"Beta_Supplies",E:E,"Pending") / COUNTIF(B:B,"Beta_Supplies")</f>
        <v>0.12179487179487179</v>
      </c>
      <c r="L735" s="15">
        <v>54108</v>
      </c>
      <c r="M735" s="15">
        <v>3418.2</v>
      </c>
      <c r="N735" s="14">
        <f t="shared" si="22"/>
        <v>9.0123456790123457E-2</v>
      </c>
      <c r="O735" s="1">
        <v>0.76</v>
      </c>
      <c r="P735" s="1">
        <f t="shared" si="23"/>
        <v>5.9419881723458169E-2</v>
      </c>
    </row>
    <row r="736" spans="1:16" x14ac:dyDescent="0.45">
      <c r="A736" t="s">
        <v>18</v>
      </c>
      <c r="B736" t="s">
        <v>19</v>
      </c>
      <c r="C736">
        <v>2023</v>
      </c>
      <c r="D736" t="s">
        <v>26</v>
      </c>
      <c r="E736" t="s">
        <v>16</v>
      </c>
      <c r="F736">
        <v>725</v>
      </c>
      <c r="G736">
        <v>66.400000000000006</v>
      </c>
      <c r="H736">
        <v>62.1</v>
      </c>
      <c r="I736">
        <v>118</v>
      </c>
      <c r="J736" t="s">
        <v>17</v>
      </c>
      <c r="K736" s="14">
        <f>COUNTIFS(B:B,"Delta_Logistics",E:E,"Cancelled") / COUNTIF(B:B,"Delta_Logistics")</f>
        <v>9.3567251461988299E-2</v>
      </c>
      <c r="L736" s="15">
        <v>45022.5</v>
      </c>
      <c r="M736" s="15">
        <v>3117.5</v>
      </c>
      <c r="N736" s="14">
        <f t="shared" si="22"/>
        <v>0.16275862068965516</v>
      </c>
      <c r="O736" s="1">
        <v>0.61</v>
      </c>
      <c r="P736" s="1">
        <f t="shared" si="23"/>
        <v>6.4759036144578369E-2</v>
      </c>
    </row>
    <row r="737" spans="1:16" x14ac:dyDescent="0.45">
      <c r="A737" t="s">
        <v>13</v>
      </c>
      <c r="B737" t="s">
        <v>14</v>
      </c>
      <c r="C737">
        <v>2022</v>
      </c>
      <c r="D737" t="s">
        <v>33</v>
      </c>
      <c r="E737" t="s">
        <v>20</v>
      </c>
      <c r="F737">
        <v>1467</v>
      </c>
      <c r="G737">
        <v>34.200000000000003</v>
      </c>
      <c r="H737">
        <v>30.5</v>
      </c>
      <c r="I737">
        <v>25</v>
      </c>
      <c r="J737" t="s">
        <v>17</v>
      </c>
      <c r="K737" s="14">
        <f>COUNTIFS(B:B,"Alpha_Inc",E:E,"Delivered")/COUNTIF(B:B,"Alpha_Inc")</f>
        <v>0.75886524822695034</v>
      </c>
      <c r="L737" s="15">
        <v>44743.5</v>
      </c>
      <c r="M737" s="15">
        <v>5427.9</v>
      </c>
      <c r="N737" s="14">
        <f t="shared" si="22"/>
        <v>1.7041581458759374E-2</v>
      </c>
      <c r="O737" s="1">
        <v>0.94</v>
      </c>
      <c r="P737" s="1">
        <f t="shared" si="23"/>
        <v>0.10818713450292405</v>
      </c>
    </row>
    <row r="738" spans="1:16" x14ac:dyDescent="0.45">
      <c r="A738" t="s">
        <v>24</v>
      </c>
      <c r="B738" t="s">
        <v>25</v>
      </c>
      <c r="C738">
        <v>2022</v>
      </c>
      <c r="D738" t="s">
        <v>26</v>
      </c>
      <c r="E738" t="s">
        <v>20</v>
      </c>
      <c r="F738">
        <v>1942</v>
      </c>
      <c r="G738">
        <v>93.98</v>
      </c>
      <c r="H738">
        <v>81.31</v>
      </c>
      <c r="I738">
        <v>198</v>
      </c>
      <c r="J738" t="s">
        <v>17</v>
      </c>
      <c r="K738" s="14">
        <f>COUNTIFS(B:B,"Beta_Supplies",E:E,"Delivered") / COUNTIF(B:B,"Beta_Supplies")</f>
        <v>0.70512820512820518</v>
      </c>
      <c r="L738" s="15">
        <v>157904.01999999999</v>
      </c>
      <c r="M738" s="15">
        <v>24605.14</v>
      </c>
      <c r="N738" s="14">
        <f t="shared" si="22"/>
        <v>0.101956745623069</v>
      </c>
      <c r="O738" s="1">
        <v>0.76</v>
      </c>
      <c r="P738" s="1">
        <f t="shared" si="23"/>
        <v>0.13481591828048523</v>
      </c>
    </row>
    <row r="739" spans="1:16" x14ac:dyDescent="0.45">
      <c r="A739" t="s">
        <v>21</v>
      </c>
      <c r="B739" t="s">
        <v>22</v>
      </c>
      <c r="C739">
        <v>2022</v>
      </c>
      <c r="D739" t="s">
        <v>15</v>
      </c>
      <c r="E739" t="s">
        <v>20</v>
      </c>
      <c r="F739">
        <v>506</v>
      </c>
      <c r="G739">
        <v>84.63</v>
      </c>
      <c r="H739">
        <v>72.69</v>
      </c>
      <c r="I739">
        <v>20</v>
      </c>
      <c r="J739" t="s">
        <v>17</v>
      </c>
      <c r="K739" s="14">
        <f>COUNTIFS(B:B,"Gamma_Co",E:E,"Delivered") / COUNTIF(B:B,"Gamma_Co")</f>
        <v>0.72027972027972031</v>
      </c>
      <c r="L739" s="15">
        <v>36781.14</v>
      </c>
      <c r="M739" s="15">
        <v>6041.64</v>
      </c>
      <c r="N739" s="14">
        <f t="shared" si="22"/>
        <v>3.9525691699604744E-2</v>
      </c>
      <c r="O739" s="1">
        <v>0.86</v>
      </c>
      <c r="P739" s="1">
        <f t="shared" si="23"/>
        <v>0.14108472172988301</v>
      </c>
    </row>
    <row r="740" spans="1:16" x14ac:dyDescent="0.45">
      <c r="A740" t="s">
        <v>13</v>
      </c>
      <c r="B740" t="s">
        <v>14</v>
      </c>
      <c r="C740">
        <v>2023</v>
      </c>
      <c r="D740" t="s">
        <v>23</v>
      </c>
      <c r="E740" t="s">
        <v>20</v>
      </c>
      <c r="F740">
        <v>969</v>
      </c>
      <c r="G740">
        <v>76.53</v>
      </c>
      <c r="H740">
        <v>75.64</v>
      </c>
      <c r="I740">
        <v>30</v>
      </c>
      <c r="J740" t="s">
        <v>17</v>
      </c>
      <c r="K740" s="14">
        <f>COUNTIFS(B:B,"Alpha_Inc",E:E,"Delivered")/COUNTIF(B:B,"Alpha_Inc")</f>
        <v>0.75886524822695034</v>
      </c>
      <c r="L740" s="15">
        <v>73295.16</v>
      </c>
      <c r="M740" s="15">
        <v>862.41</v>
      </c>
      <c r="N740" s="14">
        <f t="shared" si="22"/>
        <v>3.0959752321981424E-2</v>
      </c>
      <c r="O740" s="1">
        <v>0.94</v>
      </c>
      <c r="P740" s="1">
        <f t="shared" si="23"/>
        <v>1.162942636874429E-2</v>
      </c>
    </row>
    <row r="741" spans="1:16" x14ac:dyDescent="0.45">
      <c r="A741" t="s">
        <v>18</v>
      </c>
      <c r="B741" t="s">
        <v>19</v>
      </c>
      <c r="C741">
        <v>2022</v>
      </c>
      <c r="D741" t="s">
        <v>23</v>
      </c>
      <c r="E741" t="s">
        <v>20</v>
      </c>
      <c r="F741">
        <v>241</v>
      </c>
      <c r="G741">
        <v>87.42</v>
      </c>
      <c r="H741">
        <v>82.15</v>
      </c>
      <c r="I741">
        <v>155</v>
      </c>
      <c r="J741" t="s">
        <v>17</v>
      </c>
      <c r="K741" s="14">
        <f>COUNTIFS(B:B,"Delta_Logistics",E:E,"Delivered") / COUNTIF(B:B,"Delta_Logistics")</f>
        <v>0.70175438596491224</v>
      </c>
      <c r="L741" s="15">
        <v>19798.150000000001</v>
      </c>
      <c r="M741" s="15">
        <v>1270.07</v>
      </c>
      <c r="N741" s="14">
        <f t="shared" si="22"/>
        <v>0.6431535269709544</v>
      </c>
      <c r="O741" s="1">
        <v>0.61</v>
      </c>
      <c r="P741" s="1">
        <f t="shared" si="23"/>
        <v>6.0283687943262367E-2</v>
      </c>
    </row>
    <row r="742" spans="1:16" x14ac:dyDescent="0.45">
      <c r="A742" t="s">
        <v>21</v>
      </c>
      <c r="B742" t="s">
        <v>22</v>
      </c>
      <c r="C742">
        <v>2023</v>
      </c>
      <c r="D742" t="s">
        <v>27</v>
      </c>
      <c r="E742" t="s">
        <v>20</v>
      </c>
      <c r="F742">
        <v>788</v>
      </c>
      <c r="G742">
        <v>97.3</v>
      </c>
      <c r="H742">
        <v>94.44</v>
      </c>
      <c r="I742">
        <v>32</v>
      </c>
      <c r="J742" t="s">
        <v>17</v>
      </c>
      <c r="K742" s="14">
        <f>COUNTIFS(B:B,"Gamma_Co",E:E,"Delivered") / COUNTIF(B:B,"Gamma_Co")</f>
        <v>0.72027972027972031</v>
      </c>
      <c r="L742" s="15">
        <v>74418.720000000001</v>
      </c>
      <c r="M742" s="15">
        <v>2253.6799999999998</v>
      </c>
      <c r="N742" s="14">
        <f t="shared" si="22"/>
        <v>4.060913705583756E-2</v>
      </c>
      <c r="O742" s="1">
        <v>0.86</v>
      </c>
      <c r="P742" s="1">
        <f t="shared" si="23"/>
        <v>2.9393627954779029E-2</v>
      </c>
    </row>
    <row r="743" spans="1:16" x14ac:dyDescent="0.45">
      <c r="A743" t="s">
        <v>21</v>
      </c>
      <c r="B743" t="s">
        <v>22</v>
      </c>
      <c r="C743">
        <v>2022</v>
      </c>
      <c r="D743" t="s">
        <v>15</v>
      </c>
      <c r="E743" t="s">
        <v>20</v>
      </c>
      <c r="F743">
        <v>1762</v>
      </c>
      <c r="G743">
        <v>74.12</v>
      </c>
      <c r="H743">
        <v>65.709999999999994</v>
      </c>
      <c r="I743">
        <v>94</v>
      </c>
      <c r="J743" t="s">
        <v>17</v>
      </c>
      <c r="K743" s="14">
        <f>COUNTIFS(B:B,"Gamma_Co",E:E,"Delivered") / COUNTIF(B:B,"Gamma_Co")</f>
        <v>0.72027972027972031</v>
      </c>
      <c r="L743" s="15">
        <v>115781.02</v>
      </c>
      <c r="M743" s="15">
        <v>14818.42</v>
      </c>
      <c r="N743" s="14">
        <f t="shared" si="22"/>
        <v>5.3348467650397274E-2</v>
      </c>
      <c r="O743" s="1">
        <v>0.86</v>
      </c>
      <c r="P743" s="1">
        <f t="shared" si="23"/>
        <v>0.11346465191581233</v>
      </c>
    </row>
    <row r="744" spans="1:16" x14ac:dyDescent="0.45">
      <c r="A744" t="s">
        <v>13</v>
      </c>
      <c r="B744" t="s">
        <v>14</v>
      </c>
      <c r="C744">
        <v>2022</v>
      </c>
      <c r="D744" t="s">
        <v>27</v>
      </c>
      <c r="E744" t="s">
        <v>32</v>
      </c>
      <c r="F744">
        <v>1172</v>
      </c>
      <c r="G744">
        <v>85.76</v>
      </c>
      <c r="H744">
        <v>81.430000000000007</v>
      </c>
      <c r="I744">
        <v>25</v>
      </c>
      <c r="J744" t="s">
        <v>17</v>
      </c>
      <c r="K744" s="14">
        <f>COUNTIFS(B:B,"Alpha_Inc",E:E,"Pending")/COUNTIF(B:B,"Alpha_Inc")</f>
        <v>7.8014184397163122E-2</v>
      </c>
      <c r="L744" s="15">
        <v>95435.96</v>
      </c>
      <c r="M744" s="15">
        <v>5074.76</v>
      </c>
      <c r="N744" s="14">
        <f t="shared" si="22"/>
        <v>2.1331058020477817E-2</v>
      </c>
      <c r="O744" s="1">
        <v>0.94</v>
      </c>
      <c r="P744" s="1">
        <f t="shared" si="23"/>
        <v>5.0489738805970123E-2</v>
      </c>
    </row>
    <row r="745" spans="1:16" x14ac:dyDescent="0.45">
      <c r="A745" t="s">
        <v>18</v>
      </c>
      <c r="B745" t="s">
        <v>19</v>
      </c>
      <c r="C745">
        <v>2022</v>
      </c>
      <c r="D745" t="s">
        <v>15</v>
      </c>
      <c r="E745" t="s">
        <v>20</v>
      </c>
      <c r="F745">
        <v>1621</v>
      </c>
      <c r="G745">
        <v>75.680000000000007</v>
      </c>
      <c r="H745">
        <v>73.78</v>
      </c>
      <c r="I745">
        <v>226</v>
      </c>
      <c r="J745" t="s">
        <v>28</v>
      </c>
      <c r="K745" s="14">
        <f>COUNTIFS(B:B,"Delta_Logistics",E:E,"Delivered") / COUNTIF(B:B,"Delta_Logistics")</f>
        <v>0.70175438596491224</v>
      </c>
      <c r="L745" s="15">
        <v>119597.38</v>
      </c>
      <c r="M745" s="15">
        <v>3079.9</v>
      </c>
      <c r="N745" s="14">
        <f t="shared" si="22"/>
        <v>0.13942011104256632</v>
      </c>
      <c r="O745" s="1">
        <v>0.39</v>
      </c>
      <c r="P745" s="1">
        <f t="shared" si="23"/>
        <v>2.5105708245243202E-2</v>
      </c>
    </row>
    <row r="746" spans="1:16" x14ac:dyDescent="0.45">
      <c r="A746" t="s">
        <v>13</v>
      </c>
      <c r="B746" t="s">
        <v>14</v>
      </c>
      <c r="C746">
        <v>2022</v>
      </c>
      <c r="D746" t="s">
        <v>26</v>
      </c>
      <c r="E746" t="s">
        <v>20</v>
      </c>
      <c r="F746">
        <v>1027</v>
      </c>
      <c r="G746">
        <v>73.349999999999994</v>
      </c>
      <c r="H746">
        <v>65.42</v>
      </c>
      <c r="I746">
        <v>24</v>
      </c>
      <c r="J746" t="s">
        <v>28</v>
      </c>
      <c r="K746" s="14">
        <f>COUNTIFS(B:B,"Alpha_Inc",E:E,"Delivered")/COUNTIF(B:B,"Alpha_Inc")</f>
        <v>0.75886524822695034</v>
      </c>
      <c r="L746" s="15">
        <v>67186.34</v>
      </c>
      <c r="M746" s="15">
        <v>8144.11</v>
      </c>
      <c r="N746" s="14">
        <f t="shared" si="22"/>
        <v>2.3369036027263874E-2</v>
      </c>
      <c r="O746" s="1">
        <v>0.06</v>
      </c>
      <c r="P746" s="1">
        <f t="shared" si="23"/>
        <v>0.10811179277436937</v>
      </c>
    </row>
    <row r="747" spans="1:16" x14ac:dyDescent="0.45">
      <c r="A747" t="s">
        <v>24</v>
      </c>
      <c r="B747" t="s">
        <v>25</v>
      </c>
      <c r="C747">
        <v>2022</v>
      </c>
      <c r="D747" t="s">
        <v>27</v>
      </c>
      <c r="E747" t="s">
        <v>20</v>
      </c>
      <c r="F747">
        <v>1058</v>
      </c>
      <c r="G747">
        <v>65.680000000000007</v>
      </c>
      <c r="H747">
        <v>57.21</v>
      </c>
      <c r="I747">
        <v>101</v>
      </c>
      <c r="J747" t="s">
        <v>17</v>
      </c>
      <c r="K747" s="14">
        <f>COUNTIFS(B:B,"Beta_Supplies",E:E,"Delivered") / COUNTIF(B:B,"Beta_Supplies")</f>
        <v>0.70512820512820518</v>
      </c>
      <c r="L747" s="15">
        <v>60528.18</v>
      </c>
      <c r="M747" s="15">
        <v>8961.26</v>
      </c>
      <c r="N747" s="14">
        <f t="shared" si="22"/>
        <v>9.5463137996219277E-2</v>
      </c>
      <c r="O747" s="1">
        <v>0.76</v>
      </c>
      <c r="P747" s="1">
        <f t="shared" si="23"/>
        <v>0.12895858708891603</v>
      </c>
    </row>
    <row r="748" spans="1:16" x14ac:dyDescent="0.45">
      <c r="A748" t="s">
        <v>24</v>
      </c>
      <c r="B748" t="s">
        <v>25</v>
      </c>
      <c r="C748">
        <v>2023</v>
      </c>
      <c r="D748" t="s">
        <v>26</v>
      </c>
      <c r="E748" t="s">
        <v>20</v>
      </c>
      <c r="F748">
        <v>145</v>
      </c>
      <c r="G748">
        <v>85.52</v>
      </c>
      <c r="H748">
        <v>81.86</v>
      </c>
      <c r="I748">
        <v>11</v>
      </c>
      <c r="J748" t="s">
        <v>28</v>
      </c>
      <c r="K748" s="14">
        <f>COUNTIFS(B:B,"Beta_Supplies",E:E,"Delivered") / COUNTIF(B:B,"Beta_Supplies")</f>
        <v>0.70512820512820518</v>
      </c>
      <c r="L748" s="15">
        <v>11869.7</v>
      </c>
      <c r="M748" s="15">
        <v>530.70000000000005</v>
      </c>
      <c r="N748" s="14">
        <f t="shared" si="22"/>
        <v>7.586206896551724E-2</v>
      </c>
      <c r="O748" s="1">
        <v>0.24</v>
      </c>
      <c r="P748" s="1">
        <f t="shared" si="23"/>
        <v>4.279700654817583E-2</v>
      </c>
    </row>
    <row r="749" spans="1:16" x14ac:dyDescent="0.45">
      <c r="A749" t="s">
        <v>29</v>
      </c>
      <c r="B749" t="s">
        <v>30</v>
      </c>
      <c r="C749">
        <v>2022</v>
      </c>
      <c r="D749" t="s">
        <v>15</v>
      </c>
      <c r="E749" t="s">
        <v>20</v>
      </c>
      <c r="F749">
        <v>1737</v>
      </c>
      <c r="G749">
        <v>24.88</v>
      </c>
      <c r="H749">
        <v>24.28</v>
      </c>
      <c r="I749">
        <v>46</v>
      </c>
      <c r="J749" t="s">
        <v>17</v>
      </c>
      <c r="K749" s="14">
        <f>COUNTIFS(B:B,"Epsilon_Group",E:E,"Delivered") / COUNTIF(B:B,"Epsilon_Group")</f>
        <v>0.72289156626506024</v>
      </c>
      <c r="L749" s="15">
        <v>42174.36</v>
      </c>
      <c r="M749" s="15">
        <v>1042.2</v>
      </c>
      <c r="N749" s="14">
        <f t="shared" si="22"/>
        <v>2.6482440990213012E-2</v>
      </c>
      <c r="O749" s="1">
        <v>0.98</v>
      </c>
      <c r="P749" s="1">
        <f t="shared" si="23"/>
        <v>2.4115755627009561E-2</v>
      </c>
    </row>
    <row r="750" spans="1:16" x14ac:dyDescent="0.45">
      <c r="A750" t="s">
        <v>21</v>
      </c>
      <c r="B750" t="s">
        <v>22</v>
      </c>
      <c r="C750">
        <v>2022</v>
      </c>
      <c r="D750" t="s">
        <v>33</v>
      </c>
      <c r="E750" t="s">
        <v>20</v>
      </c>
      <c r="F750">
        <v>712</v>
      </c>
      <c r="G750">
        <v>92.85</v>
      </c>
      <c r="H750">
        <v>89.39</v>
      </c>
      <c r="I750">
        <v>43</v>
      </c>
      <c r="J750" t="s">
        <v>17</v>
      </c>
      <c r="K750" s="14">
        <f>COUNTIFS(B:B,"Gamma_Co",E:E,"Delivered") / COUNTIF(B:B,"Gamma_Co")</f>
        <v>0.72027972027972031</v>
      </c>
      <c r="L750" s="15">
        <v>63645.68</v>
      </c>
      <c r="M750" s="15">
        <v>2463.52</v>
      </c>
      <c r="N750" s="14">
        <f t="shared" si="22"/>
        <v>6.0393258426966294E-2</v>
      </c>
      <c r="O750" s="1">
        <v>0.86</v>
      </c>
      <c r="P750" s="1">
        <f t="shared" si="23"/>
        <v>3.7264404954227184E-2</v>
      </c>
    </row>
    <row r="751" spans="1:16" x14ac:dyDescent="0.45">
      <c r="A751" t="s">
        <v>29</v>
      </c>
      <c r="B751" t="s">
        <v>30</v>
      </c>
      <c r="C751">
        <v>2022</v>
      </c>
      <c r="D751" t="s">
        <v>33</v>
      </c>
      <c r="E751" t="s">
        <v>20</v>
      </c>
      <c r="F751">
        <v>1263</v>
      </c>
      <c r="G751">
        <v>90.24</v>
      </c>
      <c r="H751">
        <v>86.84</v>
      </c>
      <c r="I751">
        <v>28</v>
      </c>
      <c r="J751" t="s">
        <v>17</v>
      </c>
      <c r="K751" s="14">
        <f>COUNTIFS(B:B,"Epsilon_Group",E:E,"Delivered") / COUNTIF(B:B,"Epsilon_Group")</f>
        <v>0.72289156626506024</v>
      </c>
      <c r="L751" s="15">
        <v>109678.92</v>
      </c>
      <c r="M751" s="15">
        <v>4294.2</v>
      </c>
      <c r="N751" s="14">
        <f t="shared" si="22"/>
        <v>2.2169437846397466E-2</v>
      </c>
      <c r="O751" s="1">
        <v>0.98</v>
      </c>
      <c r="P751" s="1">
        <f t="shared" si="23"/>
        <v>3.7677304964538916E-2</v>
      </c>
    </row>
    <row r="752" spans="1:16" x14ac:dyDescent="0.45">
      <c r="A752" t="s">
        <v>18</v>
      </c>
      <c r="B752" t="s">
        <v>19</v>
      </c>
      <c r="C752">
        <v>2023</v>
      </c>
      <c r="D752" t="s">
        <v>33</v>
      </c>
      <c r="E752" t="s">
        <v>20</v>
      </c>
      <c r="F752">
        <v>1809</v>
      </c>
      <c r="G752">
        <v>13.58</v>
      </c>
      <c r="H752">
        <v>12.68</v>
      </c>
      <c r="I752">
        <v>155</v>
      </c>
      <c r="J752" t="s">
        <v>28</v>
      </c>
      <c r="K752" s="14">
        <f>COUNTIFS(B:B,"Delta_Logistics",E:E,"Delivered") / COUNTIF(B:B,"Delta_Logistics")</f>
        <v>0.70175438596491224</v>
      </c>
      <c r="L752" s="15">
        <v>22938.12</v>
      </c>
      <c r="M752" s="15">
        <v>1628.1</v>
      </c>
      <c r="N752" s="14">
        <f t="shared" si="22"/>
        <v>8.5682697622996129E-2</v>
      </c>
      <c r="O752" s="1">
        <v>0.39</v>
      </c>
      <c r="P752" s="1">
        <f t="shared" si="23"/>
        <v>6.6273932253313725E-2</v>
      </c>
    </row>
    <row r="753" spans="1:16" x14ac:dyDescent="0.45">
      <c r="A753" t="s">
        <v>24</v>
      </c>
      <c r="B753" t="s">
        <v>25</v>
      </c>
      <c r="C753">
        <v>2023</v>
      </c>
      <c r="D753" t="s">
        <v>33</v>
      </c>
      <c r="E753" t="s">
        <v>16</v>
      </c>
      <c r="F753">
        <v>86</v>
      </c>
      <c r="G753">
        <v>93.6</v>
      </c>
      <c r="H753">
        <v>88.22</v>
      </c>
      <c r="I753">
        <v>5</v>
      </c>
      <c r="J753" t="s">
        <v>17</v>
      </c>
      <c r="K753" s="14">
        <f>COUNTIFS(B:B,"Beta_Supplies",E:E,"Cancelled")/COUNTIF(B:B,"Beta_Supplies")</f>
        <v>8.9743589743589744E-2</v>
      </c>
      <c r="L753" s="15">
        <v>7586.92</v>
      </c>
      <c r="M753" s="15">
        <v>462.68</v>
      </c>
      <c r="N753" s="14">
        <f t="shared" si="22"/>
        <v>5.8139534883720929E-2</v>
      </c>
      <c r="O753" s="1">
        <v>0.76</v>
      </c>
      <c r="P753" s="1">
        <f t="shared" si="23"/>
        <v>5.7478632478632434E-2</v>
      </c>
    </row>
    <row r="754" spans="1:16" x14ac:dyDescent="0.45">
      <c r="A754" t="s">
        <v>29</v>
      </c>
      <c r="B754" t="s">
        <v>30</v>
      </c>
      <c r="C754">
        <v>2022</v>
      </c>
      <c r="D754" t="s">
        <v>23</v>
      </c>
      <c r="E754" t="s">
        <v>20</v>
      </c>
      <c r="F754">
        <v>1853</v>
      </c>
      <c r="G754">
        <v>21.92</v>
      </c>
      <c r="H754">
        <v>20.72</v>
      </c>
      <c r="I754">
        <v>33</v>
      </c>
      <c r="J754" t="s">
        <v>17</v>
      </c>
      <c r="K754" s="14">
        <f>COUNTIFS(B:B,"Epsilon_Group",E:E,"Delivered") / COUNTIF(B:B,"Epsilon_Group")</f>
        <v>0.72289156626506024</v>
      </c>
      <c r="L754" s="15">
        <v>38394.160000000003</v>
      </c>
      <c r="M754" s="15">
        <v>2223.6</v>
      </c>
      <c r="N754" s="14">
        <f t="shared" si="22"/>
        <v>1.7808958445763627E-2</v>
      </c>
      <c r="O754" s="1">
        <v>0.98</v>
      </c>
      <c r="P754" s="1">
        <f t="shared" si="23"/>
        <v>5.4744525547445383E-2</v>
      </c>
    </row>
    <row r="755" spans="1:16" x14ac:dyDescent="0.45">
      <c r="A755" t="s">
        <v>24</v>
      </c>
      <c r="B755" t="s">
        <v>25</v>
      </c>
      <c r="C755">
        <v>2023</v>
      </c>
      <c r="D755" t="s">
        <v>33</v>
      </c>
      <c r="E755" t="s">
        <v>20</v>
      </c>
      <c r="F755">
        <v>1442</v>
      </c>
      <c r="G755">
        <v>43.98</v>
      </c>
      <c r="H755">
        <v>41.82</v>
      </c>
      <c r="I755">
        <v>140</v>
      </c>
      <c r="J755" t="s">
        <v>28</v>
      </c>
      <c r="K755" s="14">
        <f>COUNTIFS(B:B,"Beta_Supplies",E:E,"Delivered") / COUNTIF(B:B,"Beta_Supplies")</f>
        <v>0.70512820512820518</v>
      </c>
      <c r="L755" s="15">
        <v>60304.44</v>
      </c>
      <c r="M755" s="15">
        <v>3114.72</v>
      </c>
      <c r="N755" s="14">
        <f t="shared" si="22"/>
        <v>9.7087378640776698E-2</v>
      </c>
      <c r="O755" s="1">
        <v>0.24</v>
      </c>
      <c r="P755" s="1">
        <f t="shared" si="23"/>
        <v>4.9113233287858042E-2</v>
      </c>
    </row>
    <row r="756" spans="1:16" x14ac:dyDescent="0.45">
      <c r="A756" t="s">
        <v>24</v>
      </c>
      <c r="B756" t="s">
        <v>25</v>
      </c>
      <c r="C756">
        <v>2022</v>
      </c>
      <c r="D756" t="s">
        <v>15</v>
      </c>
      <c r="E756" t="s">
        <v>32</v>
      </c>
      <c r="F756">
        <v>1768</v>
      </c>
      <c r="G756">
        <v>79.61</v>
      </c>
      <c r="H756">
        <v>74.97</v>
      </c>
      <c r="I756">
        <v>207</v>
      </c>
      <c r="J756" t="s">
        <v>28</v>
      </c>
      <c r="K756" s="14">
        <f>COUNTIFS(B:B,"Beta_Supplies",E:E,"Pending") / COUNTIF(B:B,"Beta_Supplies")</f>
        <v>0.12179487179487179</v>
      </c>
      <c r="L756" s="15">
        <v>132546.96</v>
      </c>
      <c r="M756" s="15">
        <v>8203.52</v>
      </c>
      <c r="N756" s="14">
        <f t="shared" si="22"/>
        <v>0.11708144796380091</v>
      </c>
      <c r="O756" s="1">
        <v>0.24</v>
      </c>
      <c r="P756" s="1">
        <f t="shared" si="23"/>
        <v>5.8284135158899644E-2</v>
      </c>
    </row>
    <row r="757" spans="1:16" x14ac:dyDescent="0.45">
      <c r="A757" t="s">
        <v>24</v>
      </c>
      <c r="B757" t="s">
        <v>25</v>
      </c>
      <c r="C757">
        <v>2023</v>
      </c>
      <c r="D757" t="s">
        <v>33</v>
      </c>
      <c r="E757" t="s">
        <v>31</v>
      </c>
      <c r="F757">
        <v>1598</v>
      </c>
      <c r="G757">
        <v>26.3</v>
      </c>
      <c r="H757">
        <v>26.03</v>
      </c>
      <c r="I757">
        <v>154</v>
      </c>
      <c r="J757" t="s">
        <v>28</v>
      </c>
      <c r="K757" s="14">
        <f>COUNTIFS(B:B,"Beta_Supplies",E:E,"Partially Delivered") / COUNTIF(B:B,"Beta_Supplies")</f>
        <v>8.3333333333333329E-2</v>
      </c>
      <c r="L757" s="15">
        <v>41595.94</v>
      </c>
      <c r="M757" s="15">
        <v>431.46</v>
      </c>
      <c r="N757" s="14">
        <f t="shared" si="22"/>
        <v>9.6370463078848556E-2</v>
      </c>
      <c r="O757" s="1">
        <v>0.24</v>
      </c>
      <c r="P757" s="1">
        <f t="shared" si="23"/>
        <v>1.0266159695817473E-2</v>
      </c>
    </row>
    <row r="758" spans="1:16" x14ac:dyDescent="0.45">
      <c r="A758" t="s">
        <v>13</v>
      </c>
      <c r="B758" t="s">
        <v>14</v>
      </c>
      <c r="C758">
        <v>2023</v>
      </c>
      <c r="D758" t="s">
        <v>23</v>
      </c>
      <c r="E758" t="s">
        <v>16</v>
      </c>
      <c r="F758">
        <v>328</v>
      </c>
      <c r="G758">
        <v>93.23</v>
      </c>
      <c r="H758">
        <v>82.63</v>
      </c>
      <c r="I758">
        <v>6</v>
      </c>
      <c r="J758" t="s">
        <v>17</v>
      </c>
      <c r="K758" s="14">
        <f>COUNTIFS(B:B,"Alpha_Inc",E:E,"Cancelled") / COUNTIF(B:B,"Alpha_Inc")</f>
        <v>9.2198581560283682E-2</v>
      </c>
      <c r="L758" s="15">
        <v>27102.639999999999</v>
      </c>
      <c r="M758" s="15">
        <v>3476.8</v>
      </c>
      <c r="N758" s="14">
        <f t="shared" si="22"/>
        <v>1.8292682926829267E-2</v>
      </c>
      <c r="O758" s="1">
        <v>0.94</v>
      </c>
      <c r="P758" s="1">
        <f t="shared" si="23"/>
        <v>0.11369730773356225</v>
      </c>
    </row>
    <row r="759" spans="1:16" x14ac:dyDescent="0.45">
      <c r="A759" t="s">
        <v>29</v>
      </c>
      <c r="B759" t="s">
        <v>30</v>
      </c>
      <c r="C759">
        <v>2022</v>
      </c>
      <c r="D759" t="s">
        <v>26</v>
      </c>
      <c r="E759" t="s">
        <v>20</v>
      </c>
      <c r="F759">
        <v>266</v>
      </c>
      <c r="G759">
        <v>88.29</v>
      </c>
      <c r="H759">
        <v>80.22</v>
      </c>
      <c r="I759">
        <v>4</v>
      </c>
      <c r="J759" t="s">
        <v>17</v>
      </c>
      <c r="K759" s="14">
        <f>COUNTIFS(B:B,"Epsilon_Group",E:E,"Delivered") / COUNTIF(B:B,"Epsilon_Group")</f>
        <v>0.72289156626506024</v>
      </c>
      <c r="L759" s="15">
        <v>21338.52</v>
      </c>
      <c r="M759" s="15">
        <v>2146.62</v>
      </c>
      <c r="N759" s="14">
        <f t="shared" si="22"/>
        <v>1.5037593984962405E-2</v>
      </c>
      <c r="O759" s="1">
        <v>0.98</v>
      </c>
      <c r="P759" s="1">
        <f t="shared" si="23"/>
        <v>9.1403329935440106E-2</v>
      </c>
    </row>
    <row r="760" spans="1:16" x14ac:dyDescent="0.45">
      <c r="A760" t="s">
        <v>21</v>
      </c>
      <c r="B760" t="s">
        <v>22</v>
      </c>
      <c r="C760">
        <v>2023</v>
      </c>
      <c r="D760" t="s">
        <v>27</v>
      </c>
      <c r="E760" t="s">
        <v>20</v>
      </c>
      <c r="F760">
        <v>916</v>
      </c>
      <c r="G760">
        <v>59.01</v>
      </c>
      <c r="H760">
        <v>53.37</v>
      </c>
      <c r="I760">
        <v>47</v>
      </c>
      <c r="J760" t="s">
        <v>17</v>
      </c>
      <c r="K760" s="14">
        <f>COUNTIFS(B:B,"Gamma_Co",E:E,"Delivered") / COUNTIF(B:B,"Gamma_Co")</f>
        <v>0.72027972027972031</v>
      </c>
      <c r="L760" s="15">
        <v>48886.92</v>
      </c>
      <c r="M760" s="15">
        <v>5166.24</v>
      </c>
      <c r="N760" s="14">
        <f t="shared" si="22"/>
        <v>5.1310043668122272E-2</v>
      </c>
      <c r="O760" s="1">
        <v>0.86</v>
      </c>
      <c r="P760" s="1">
        <f t="shared" si="23"/>
        <v>9.5577020843924776E-2</v>
      </c>
    </row>
    <row r="761" spans="1:16" x14ac:dyDescent="0.45">
      <c r="A761" t="s">
        <v>29</v>
      </c>
      <c r="B761" t="s">
        <v>30</v>
      </c>
      <c r="C761">
        <v>2022</v>
      </c>
      <c r="D761" t="s">
        <v>26</v>
      </c>
      <c r="E761" t="s">
        <v>16</v>
      </c>
      <c r="F761">
        <v>922</v>
      </c>
      <c r="G761">
        <v>10.84</v>
      </c>
      <c r="H761">
        <v>9.27</v>
      </c>
      <c r="I761">
        <v>29</v>
      </c>
      <c r="J761" t="s">
        <v>17</v>
      </c>
      <c r="K761" s="14">
        <f>COUNTIFS(B:B,"Epsilon_Group",E:E,"Cancelled") / COUNTIF(B:B,"Epsilon_Group")</f>
        <v>8.4337349397590355E-2</v>
      </c>
      <c r="L761" s="15">
        <v>8546.94</v>
      </c>
      <c r="M761" s="15">
        <v>1447.54</v>
      </c>
      <c r="N761" s="14">
        <f t="shared" si="22"/>
        <v>3.1453362255965296E-2</v>
      </c>
      <c r="O761" s="1">
        <v>0.98</v>
      </c>
      <c r="P761" s="1">
        <f t="shared" si="23"/>
        <v>0.14483394833948343</v>
      </c>
    </row>
    <row r="762" spans="1:16" x14ac:dyDescent="0.45">
      <c r="A762" t="s">
        <v>21</v>
      </c>
      <c r="B762" t="s">
        <v>22</v>
      </c>
      <c r="C762">
        <v>2023</v>
      </c>
      <c r="D762" t="s">
        <v>26</v>
      </c>
      <c r="E762" t="s">
        <v>20</v>
      </c>
      <c r="F762">
        <v>1871</v>
      </c>
      <c r="G762">
        <v>39.42</v>
      </c>
      <c r="H762">
        <v>37.409999999999997</v>
      </c>
      <c r="I762">
        <v>101</v>
      </c>
      <c r="J762" t="s">
        <v>28</v>
      </c>
      <c r="K762" s="14">
        <f>COUNTIFS(B:B,"Gamma_Co",E:E,"Delivered") / COUNTIF(B:B,"Gamma_Co")</f>
        <v>0.72027972027972031</v>
      </c>
      <c r="L762" s="15">
        <v>69994.11</v>
      </c>
      <c r="M762" s="15">
        <v>3760.71</v>
      </c>
      <c r="N762" s="14">
        <f t="shared" si="22"/>
        <v>5.3981827899518976E-2</v>
      </c>
      <c r="O762" s="1">
        <v>0.14000000000000001</v>
      </c>
      <c r="P762" s="1">
        <f t="shared" si="23"/>
        <v>5.0989345509893584E-2</v>
      </c>
    </row>
    <row r="763" spans="1:16" x14ac:dyDescent="0.45">
      <c r="A763" t="s">
        <v>29</v>
      </c>
      <c r="B763" t="s">
        <v>30</v>
      </c>
      <c r="C763">
        <v>2023</v>
      </c>
      <c r="D763" t="s">
        <v>27</v>
      </c>
      <c r="E763" t="s">
        <v>20</v>
      </c>
      <c r="F763">
        <v>1346</v>
      </c>
      <c r="G763">
        <v>72.08</v>
      </c>
      <c r="H763">
        <v>67.040000000000006</v>
      </c>
      <c r="I763">
        <v>38</v>
      </c>
      <c r="J763" t="s">
        <v>17</v>
      </c>
      <c r="K763" s="14">
        <f>COUNTIFS(B:B,"Epsilon_Group",E:E,"Delivered") / COUNTIF(B:B,"Epsilon_Group")</f>
        <v>0.72289156626506024</v>
      </c>
      <c r="L763" s="15">
        <v>90235.839999999997</v>
      </c>
      <c r="M763" s="15">
        <v>6783.84</v>
      </c>
      <c r="N763" s="14">
        <f t="shared" si="22"/>
        <v>2.8231797919762259E-2</v>
      </c>
      <c r="O763" s="1">
        <v>0.98</v>
      </c>
      <c r="P763" s="1">
        <f t="shared" si="23"/>
        <v>6.9922308546059825E-2</v>
      </c>
    </row>
    <row r="764" spans="1:16" x14ac:dyDescent="0.45">
      <c r="A764" t="s">
        <v>29</v>
      </c>
      <c r="B764" t="s">
        <v>30</v>
      </c>
      <c r="C764">
        <v>2022</v>
      </c>
      <c r="D764" t="s">
        <v>33</v>
      </c>
      <c r="E764" t="s">
        <v>20</v>
      </c>
      <c r="F764">
        <v>1954</v>
      </c>
      <c r="G764">
        <v>99.78</v>
      </c>
      <c r="H764">
        <v>87.47</v>
      </c>
      <c r="I764">
        <v>57</v>
      </c>
      <c r="J764" t="s">
        <v>17</v>
      </c>
      <c r="K764" s="14">
        <f>COUNTIFS(B:B,"Epsilon_Group",E:E,"Delivered") / COUNTIF(B:B,"Epsilon_Group")</f>
        <v>0.72289156626506024</v>
      </c>
      <c r="L764" s="15">
        <v>170916.38</v>
      </c>
      <c r="M764" s="15">
        <v>24053.74</v>
      </c>
      <c r="N764" s="14">
        <f t="shared" si="22"/>
        <v>2.9170931422722621E-2</v>
      </c>
      <c r="O764" s="1">
        <v>0.98</v>
      </c>
      <c r="P764" s="1">
        <f t="shared" si="23"/>
        <v>0.12337141711765887</v>
      </c>
    </row>
    <row r="765" spans="1:16" x14ac:dyDescent="0.45">
      <c r="A765" t="s">
        <v>24</v>
      </c>
      <c r="B765" t="s">
        <v>25</v>
      </c>
      <c r="C765">
        <v>2022</v>
      </c>
      <c r="D765" t="s">
        <v>33</v>
      </c>
      <c r="E765" t="s">
        <v>20</v>
      </c>
      <c r="F765">
        <v>111</v>
      </c>
      <c r="G765">
        <v>68.53</v>
      </c>
      <c r="H765">
        <v>65.22</v>
      </c>
      <c r="I765">
        <v>11</v>
      </c>
      <c r="J765" t="s">
        <v>17</v>
      </c>
      <c r="K765" s="14">
        <f>COUNTIFS(B:B,"Beta_Supplies",E:E,"Delivered") / COUNTIF(B:B,"Beta_Supplies")</f>
        <v>0.70512820512820518</v>
      </c>
      <c r="L765" s="15">
        <v>7239.42</v>
      </c>
      <c r="M765" s="15">
        <v>367.41</v>
      </c>
      <c r="N765" s="14">
        <f t="shared" si="22"/>
        <v>9.90990990990991E-2</v>
      </c>
      <c r="O765" s="1">
        <v>0.76</v>
      </c>
      <c r="P765" s="1">
        <f t="shared" si="23"/>
        <v>4.8300014592149457E-2</v>
      </c>
    </row>
    <row r="766" spans="1:16" x14ac:dyDescent="0.45">
      <c r="A766" t="s">
        <v>21</v>
      </c>
      <c r="B766" t="s">
        <v>22</v>
      </c>
      <c r="C766">
        <v>2022</v>
      </c>
      <c r="D766" t="s">
        <v>15</v>
      </c>
      <c r="E766" t="s">
        <v>32</v>
      </c>
      <c r="F766">
        <v>645</v>
      </c>
      <c r="G766">
        <v>35.049999999999997</v>
      </c>
      <c r="H766">
        <v>30.88</v>
      </c>
      <c r="I766">
        <v>27</v>
      </c>
      <c r="J766" t="s">
        <v>17</v>
      </c>
      <c r="K766" s="14">
        <f>COUNTIFS(B:B,"Gamma_Co",E:E,"Pending") / COUNTIF(B:B,"Gamma_Co")</f>
        <v>0.11188811188811189</v>
      </c>
      <c r="L766" s="15">
        <v>19917.599999999999</v>
      </c>
      <c r="M766" s="15">
        <v>2689.65</v>
      </c>
      <c r="N766" s="14">
        <f t="shared" si="22"/>
        <v>4.1860465116279069E-2</v>
      </c>
      <c r="O766" s="1">
        <v>0.86</v>
      </c>
      <c r="P766" s="1">
        <f t="shared" si="23"/>
        <v>0.11897289586305274</v>
      </c>
    </row>
    <row r="767" spans="1:16" x14ac:dyDescent="0.45">
      <c r="A767" t="s">
        <v>21</v>
      </c>
      <c r="B767" t="s">
        <v>22</v>
      </c>
      <c r="C767">
        <v>2022</v>
      </c>
      <c r="D767" t="s">
        <v>33</v>
      </c>
      <c r="E767" t="s">
        <v>16</v>
      </c>
      <c r="F767">
        <v>1953</v>
      </c>
      <c r="G767">
        <v>68.069999999999993</v>
      </c>
      <c r="H767">
        <v>62.95</v>
      </c>
      <c r="I767">
        <v>87</v>
      </c>
      <c r="J767" t="s">
        <v>17</v>
      </c>
      <c r="K767" s="14">
        <f>COUNTIFS(B:B,"Gamma_Co",E:E,"Cancelled") / COUNTIF(B:B,"Gamma_Co")</f>
        <v>4.195804195804196E-2</v>
      </c>
      <c r="L767" s="15">
        <v>122941.35</v>
      </c>
      <c r="M767" s="15">
        <v>9999.36</v>
      </c>
      <c r="N767" s="14">
        <f t="shared" si="22"/>
        <v>4.4546850998463901E-2</v>
      </c>
      <c r="O767" s="1">
        <v>0.86</v>
      </c>
      <c r="P767" s="1">
        <f t="shared" si="23"/>
        <v>7.5216688702805803E-2</v>
      </c>
    </row>
    <row r="768" spans="1:16" x14ac:dyDescent="0.45">
      <c r="A768" t="s">
        <v>21</v>
      </c>
      <c r="B768" t="s">
        <v>22</v>
      </c>
      <c r="C768">
        <v>2023</v>
      </c>
      <c r="D768" t="s">
        <v>33</v>
      </c>
      <c r="E768" t="s">
        <v>20</v>
      </c>
      <c r="F768">
        <v>778</v>
      </c>
      <c r="G768">
        <v>64.17</v>
      </c>
      <c r="H768">
        <v>61.6</v>
      </c>
      <c r="I768">
        <v>47</v>
      </c>
      <c r="J768" t="s">
        <v>17</v>
      </c>
      <c r="K768" s="14">
        <f>COUNTIFS(B:B,"Gamma_Co",E:E,"Delivered") / COUNTIF(B:B,"Gamma_Co")</f>
        <v>0.72027972027972031</v>
      </c>
      <c r="L768" s="15">
        <v>47924.800000000003</v>
      </c>
      <c r="M768" s="15">
        <v>1999.46</v>
      </c>
      <c r="N768" s="14">
        <f t="shared" si="22"/>
        <v>6.0411311053984576E-2</v>
      </c>
      <c r="O768" s="1">
        <v>0.86</v>
      </c>
      <c r="P768" s="1">
        <f t="shared" si="23"/>
        <v>4.004986753934861E-2</v>
      </c>
    </row>
    <row r="769" spans="1:16" x14ac:dyDescent="0.45">
      <c r="A769" t="s">
        <v>29</v>
      </c>
      <c r="B769" t="s">
        <v>30</v>
      </c>
      <c r="C769">
        <v>2022</v>
      </c>
      <c r="D769" t="s">
        <v>15</v>
      </c>
      <c r="E769" t="s">
        <v>20</v>
      </c>
      <c r="F769">
        <v>1415</v>
      </c>
      <c r="G769">
        <v>80.19</v>
      </c>
      <c r="H769">
        <v>78.34</v>
      </c>
      <c r="I769">
        <v>33</v>
      </c>
      <c r="J769" t="s">
        <v>17</v>
      </c>
      <c r="K769" s="14">
        <f>COUNTIFS(B:B,"Epsilon_Group",E:E,"Delivered") / COUNTIF(B:B,"Epsilon_Group")</f>
        <v>0.72289156626506024</v>
      </c>
      <c r="L769" s="15">
        <v>110851.1</v>
      </c>
      <c r="M769" s="15">
        <v>2617.75</v>
      </c>
      <c r="N769" s="14">
        <f t="shared" si="22"/>
        <v>2.3321554770318022E-2</v>
      </c>
      <c r="O769" s="1">
        <v>0.98</v>
      </c>
      <c r="P769" s="1">
        <f t="shared" si="23"/>
        <v>2.3070208255393371E-2</v>
      </c>
    </row>
    <row r="770" spans="1:16" x14ac:dyDescent="0.45">
      <c r="A770" t="s">
        <v>21</v>
      </c>
      <c r="B770" t="s">
        <v>22</v>
      </c>
      <c r="C770">
        <v>2022</v>
      </c>
      <c r="D770" t="s">
        <v>27</v>
      </c>
      <c r="E770" t="s">
        <v>20</v>
      </c>
      <c r="F770">
        <v>446</v>
      </c>
      <c r="G770">
        <v>20.61</v>
      </c>
      <c r="H770">
        <v>19.46</v>
      </c>
      <c r="I770">
        <v>14</v>
      </c>
      <c r="J770" t="s">
        <v>17</v>
      </c>
      <c r="K770" s="14">
        <f>COUNTIFS(B:B,"Gamma_Co",E:E,"Delivered") / COUNTIF(B:B,"Gamma_Co")</f>
        <v>0.72027972027972031</v>
      </c>
      <c r="L770" s="15">
        <v>8679.16</v>
      </c>
      <c r="M770" s="15">
        <v>512.9</v>
      </c>
      <c r="N770" s="14">
        <f t="shared" ref="N770:N778" si="24">I770/F770</f>
        <v>3.1390134529147982E-2</v>
      </c>
      <c r="O770" s="1">
        <v>0.86</v>
      </c>
      <c r="P770" s="1">
        <f t="shared" si="23"/>
        <v>5.5798156234837387E-2</v>
      </c>
    </row>
    <row r="771" spans="1:16" x14ac:dyDescent="0.45">
      <c r="A771" t="s">
        <v>29</v>
      </c>
      <c r="B771" t="s">
        <v>30</v>
      </c>
      <c r="C771">
        <v>2023</v>
      </c>
      <c r="D771" t="s">
        <v>15</v>
      </c>
      <c r="E771" t="s">
        <v>20</v>
      </c>
      <c r="F771">
        <v>748</v>
      </c>
      <c r="G771">
        <v>85.95</v>
      </c>
      <c r="H771">
        <v>79.16</v>
      </c>
      <c r="I771">
        <v>32</v>
      </c>
      <c r="J771" t="s">
        <v>17</v>
      </c>
      <c r="K771" s="14">
        <f>COUNTIFS(B:B,"Epsilon_Group",E:E,"Delivered") / COUNTIF(B:B,"Epsilon_Group")</f>
        <v>0.72289156626506024</v>
      </c>
      <c r="L771" s="15">
        <v>59211.68</v>
      </c>
      <c r="M771" s="15">
        <v>5078.92</v>
      </c>
      <c r="N771" s="14">
        <f t="shared" si="24"/>
        <v>4.2780748663101602E-2</v>
      </c>
      <c r="O771" s="1">
        <v>0.98</v>
      </c>
      <c r="P771" s="1">
        <f t="shared" ref="P771:P778" si="25">((G771-H771)/G771)</f>
        <v>7.8999418266434043E-2</v>
      </c>
    </row>
    <row r="772" spans="1:16" x14ac:dyDescent="0.45">
      <c r="A772" t="s">
        <v>13</v>
      </c>
      <c r="B772" t="s">
        <v>14</v>
      </c>
      <c r="C772">
        <v>2023</v>
      </c>
      <c r="D772" t="s">
        <v>33</v>
      </c>
      <c r="E772" t="s">
        <v>32</v>
      </c>
      <c r="F772">
        <v>1092</v>
      </c>
      <c r="G772">
        <v>65.17</v>
      </c>
      <c r="H772">
        <v>63.11</v>
      </c>
      <c r="I772">
        <v>21</v>
      </c>
      <c r="J772" t="s">
        <v>17</v>
      </c>
      <c r="K772" s="14">
        <f>COUNTIFS(B:B,"Alpha_Inc",E:E,"Pending")/COUNTIF(B:B,"Alpha_Inc")</f>
        <v>7.8014184397163122E-2</v>
      </c>
      <c r="L772" s="15">
        <v>68916.12</v>
      </c>
      <c r="M772" s="15">
        <v>2249.52</v>
      </c>
      <c r="N772" s="14">
        <f t="shared" si="24"/>
        <v>1.9230769230769232E-2</v>
      </c>
      <c r="O772" s="1">
        <v>0.94</v>
      </c>
      <c r="P772" s="1">
        <f t="shared" si="25"/>
        <v>3.1609636335737337E-2</v>
      </c>
    </row>
    <row r="773" spans="1:16" x14ac:dyDescent="0.45">
      <c r="A773" t="s">
        <v>24</v>
      </c>
      <c r="B773" t="s">
        <v>25</v>
      </c>
      <c r="C773">
        <v>2023</v>
      </c>
      <c r="D773" t="s">
        <v>33</v>
      </c>
      <c r="E773" t="s">
        <v>20</v>
      </c>
      <c r="F773">
        <v>226</v>
      </c>
      <c r="G773">
        <v>102.47</v>
      </c>
      <c r="H773">
        <v>99.16</v>
      </c>
      <c r="I773">
        <v>28</v>
      </c>
      <c r="J773" t="s">
        <v>17</v>
      </c>
      <c r="K773" s="14">
        <f>COUNTIFS(B:B,"Beta_Supplies",E:E,"Delivered") / COUNTIF(B:B,"Beta_Supplies")</f>
        <v>0.70512820512820518</v>
      </c>
      <c r="L773" s="15">
        <v>22410.16</v>
      </c>
      <c r="M773" s="15">
        <v>748.06</v>
      </c>
      <c r="N773" s="14">
        <f t="shared" si="24"/>
        <v>0.12389380530973451</v>
      </c>
      <c r="O773" s="1">
        <v>0.76</v>
      </c>
      <c r="P773" s="1">
        <f t="shared" si="25"/>
        <v>3.2302137210891015E-2</v>
      </c>
    </row>
    <row r="774" spans="1:16" x14ac:dyDescent="0.45">
      <c r="A774" t="s">
        <v>18</v>
      </c>
      <c r="B774" t="s">
        <v>19</v>
      </c>
      <c r="C774">
        <v>2023</v>
      </c>
      <c r="D774" t="s">
        <v>33</v>
      </c>
      <c r="E774" t="s">
        <v>20</v>
      </c>
      <c r="F774">
        <v>1685</v>
      </c>
      <c r="G774">
        <v>43.42</v>
      </c>
      <c r="H774">
        <v>42.24</v>
      </c>
      <c r="I774">
        <v>262</v>
      </c>
      <c r="J774" t="s">
        <v>17</v>
      </c>
      <c r="K774" s="14">
        <f>COUNTIFS(B:B,"Delta_Logistics",E:E,"Delivered") / COUNTIF(B:B,"Delta_Logistics")</f>
        <v>0.70175438596491224</v>
      </c>
      <c r="L774" s="15">
        <v>71174.399999999994</v>
      </c>
      <c r="M774" s="15">
        <v>1988.3</v>
      </c>
      <c r="N774" s="14">
        <f t="shared" si="24"/>
        <v>0.15548961424332344</v>
      </c>
      <c r="O774" s="1">
        <v>0.61</v>
      </c>
      <c r="P774" s="1">
        <f t="shared" si="25"/>
        <v>2.7176416397973278E-2</v>
      </c>
    </row>
    <row r="775" spans="1:16" x14ac:dyDescent="0.45">
      <c r="A775" t="s">
        <v>13</v>
      </c>
      <c r="B775" t="s">
        <v>14</v>
      </c>
      <c r="C775">
        <v>2022</v>
      </c>
      <c r="D775" t="s">
        <v>15</v>
      </c>
      <c r="E775" t="s">
        <v>20</v>
      </c>
      <c r="F775">
        <v>445</v>
      </c>
      <c r="G775">
        <v>68.94</v>
      </c>
      <c r="H775">
        <v>60.35</v>
      </c>
      <c r="I775">
        <v>7</v>
      </c>
      <c r="J775" t="s">
        <v>17</v>
      </c>
      <c r="K775" s="14">
        <f>COUNTIFS(B:B,"Alpha_Inc",E:E,"Delivered")/COUNTIF(B:B,"Alpha_Inc")</f>
        <v>0.75886524822695034</v>
      </c>
      <c r="L775" s="15">
        <v>26855.75</v>
      </c>
      <c r="M775" s="15">
        <v>3822.55</v>
      </c>
      <c r="N775" s="14">
        <f t="shared" si="24"/>
        <v>1.5730337078651686E-2</v>
      </c>
      <c r="O775" s="1">
        <v>0.94</v>
      </c>
      <c r="P775" s="1">
        <f t="shared" si="25"/>
        <v>0.12460110240789087</v>
      </c>
    </row>
    <row r="776" spans="1:16" x14ac:dyDescent="0.45">
      <c r="A776" t="s">
        <v>21</v>
      </c>
      <c r="B776" t="s">
        <v>22</v>
      </c>
      <c r="C776">
        <v>2022</v>
      </c>
      <c r="D776" t="s">
        <v>27</v>
      </c>
      <c r="E776" t="s">
        <v>20</v>
      </c>
      <c r="F776">
        <v>494</v>
      </c>
      <c r="G776">
        <v>94.82</v>
      </c>
      <c r="H776">
        <v>81.89</v>
      </c>
      <c r="I776">
        <v>29</v>
      </c>
      <c r="J776" t="s">
        <v>17</v>
      </c>
      <c r="K776" s="14">
        <f>COUNTIFS(B:B,"Gamma_Co",E:E,"Delivered") / COUNTIF(B:B,"Gamma_Co")</f>
        <v>0.72027972027972031</v>
      </c>
      <c r="L776" s="15">
        <v>40453.660000000003</v>
      </c>
      <c r="M776" s="15">
        <v>6387.42</v>
      </c>
      <c r="N776" s="14">
        <f t="shared" si="24"/>
        <v>5.8704453441295545E-2</v>
      </c>
      <c r="O776" s="1">
        <v>0.86</v>
      </c>
      <c r="P776" s="1">
        <f t="shared" si="25"/>
        <v>0.1363636363636363</v>
      </c>
    </row>
    <row r="777" spans="1:16" x14ac:dyDescent="0.45">
      <c r="A777" t="s">
        <v>24</v>
      </c>
      <c r="B777" t="s">
        <v>25</v>
      </c>
      <c r="C777">
        <v>2023</v>
      </c>
      <c r="D777" t="s">
        <v>23</v>
      </c>
      <c r="E777" t="s">
        <v>20</v>
      </c>
      <c r="F777">
        <v>1306</v>
      </c>
      <c r="G777">
        <v>21.05</v>
      </c>
      <c r="H777">
        <v>18.27</v>
      </c>
      <c r="I777">
        <v>128</v>
      </c>
      <c r="J777" t="s">
        <v>17</v>
      </c>
      <c r="K777" s="14">
        <f>COUNTIFS(B:B,"Beta_Supplies",E:E,"Delivered") / COUNTIF(B:B,"Beta_Supplies")</f>
        <v>0.70512820512820518</v>
      </c>
      <c r="L777" s="15">
        <v>23860.62</v>
      </c>
      <c r="M777" s="15">
        <v>3630.68</v>
      </c>
      <c r="N777" s="14">
        <f t="shared" si="24"/>
        <v>9.8009188361408886E-2</v>
      </c>
      <c r="O777" s="1">
        <v>0.76</v>
      </c>
      <c r="P777" s="1">
        <f t="shared" si="25"/>
        <v>0.13206650831353925</v>
      </c>
    </row>
    <row r="778" spans="1:16" x14ac:dyDescent="0.45">
      <c r="A778" t="s">
        <v>24</v>
      </c>
      <c r="B778" t="s">
        <v>25</v>
      </c>
      <c r="C778">
        <v>2023</v>
      </c>
      <c r="D778" t="s">
        <v>15</v>
      </c>
      <c r="E778" t="s">
        <v>20</v>
      </c>
      <c r="F778">
        <v>1988</v>
      </c>
      <c r="G778">
        <v>105.2</v>
      </c>
      <c r="H778">
        <v>93.23</v>
      </c>
      <c r="I778">
        <v>187</v>
      </c>
      <c r="J778" t="s">
        <v>17</v>
      </c>
      <c r="K778" s="14">
        <f>COUNTIFS(B:B,"Beta_Supplies",E:E,"Delivered") / COUNTIF(B:B,"Beta_Supplies")</f>
        <v>0.70512820512820518</v>
      </c>
      <c r="L778" s="15">
        <v>185341.24</v>
      </c>
      <c r="M778" s="15">
        <v>23796.36</v>
      </c>
      <c r="N778" s="14">
        <f t="shared" si="24"/>
        <v>9.406438631790745E-2</v>
      </c>
      <c r="O778" s="1">
        <v>0.76</v>
      </c>
      <c r="P778" s="1">
        <f t="shared" si="25"/>
        <v>0.11378326996197717</v>
      </c>
    </row>
    <row r="779" spans="1:16" ht="12.75" customHeight="1" x14ac:dyDescent="0.45">
      <c r="P779"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FD5B4-07FA-4E8A-B87F-12D73E8342A6}">
  <dimension ref="A5:E6"/>
  <sheetViews>
    <sheetView workbookViewId="0">
      <selection activeCell="A6" sqref="A6"/>
    </sheetView>
  </sheetViews>
  <sheetFormatPr defaultRowHeight="14.25" x14ac:dyDescent="0.45"/>
  <cols>
    <col min="1" max="1" width="15.73046875" bestFit="1" customWidth="1"/>
    <col min="2" max="2" width="16" bestFit="1" customWidth="1"/>
    <col min="3" max="3" width="19.1328125" bestFit="1" customWidth="1"/>
    <col min="4" max="4" width="15.3984375" bestFit="1" customWidth="1"/>
    <col min="5" max="5" width="18.86328125" bestFit="1" customWidth="1"/>
    <col min="6" max="6" width="15.3984375" bestFit="1" customWidth="1"/>
  </cols>
  <sheetData>
    <row r="5" spans="1:5" x14ac:dyDescent="0.45">
      <c r="A5" t="s">
        <v>39</v>
      </c>
      <c r="B5" t="s">
        <v>40</v>
      </c>
      <c r="C5" t="s">
        <v>41</v>
      </c>
      <c r="D5" t="s">
        <v>42</v>
      </c>
      <c r="E5" t="s">
        <v>45</v>
      </c>
    </row>
    <row r="6" spans="1:5" x14ac:dyDescent="0.45">
      <c r="A6" s="13">
        <v>42507.316662741199</v>
      </c>
      <c r="B6" s="13">
        <v>45373696.390000008</v>
      </c>
      <c r="C6" s="13">
        <v>136.55999999999992</v>
      </c>
      <c r="D6" s="13">
        <v>581.69000000000267</v>
      </c>
      <c r="E6" s="13">
        <v>6423.1956044169947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A8E8-A728-4BB6-8661-FFAE562876AC}">
  <dimension ref="A4:C21"/>
  <sheetViews>
    <sheetView workbookViewId="0">
      <selection activeCell="A4" sqref="A4"/>
    </sheetView>
  </sheetViews>
  <sheetFormatPr defaultRowHeight="14.25" x14ac:dyDescent="0.45"/>
  <sheetData>
    <row r="4" spans="1:3" x14ac:dyDescent="0.45">
      <c r="A4" s="2"/>
      <c r="B4" s="3"/>
      <c r="C4" s="4"/>
    </row>
    <row r="5" spans="1:3" x14ac:dyDescent="0.45">
      <c r="A5" s="5"/>
      <c r="B5" s="6"/>
      <c r="C5" s="7"/>
    </row>
    <row r="6" spans="1:3" x14ac:dyDescent="0.45">
      <c r="A6" s="5"/>
      <c r="B6" s="6"/>
      <c r="C6" s="7"/>
    </row>
    <row r="7" spans="1:3" x14ac:dyDescent="0.45">
      <c r="A7" s="5"/>
      <c r="B7" s="6"/>
      <c r="C7" s="7"/>
    </row>
    <row r="8" spans="1:3" x14ac:dyDescent="0.45">
      <c r="A8" s="5"/>
      <c r="B8" s="6"/>
      <c r="C8" s="7"/>
    </row>
    <row r="9" spans="1:3" x14ac:dyDescent="0.45">
      <c r="A9" s="5"/>
      <c r="B9" s="6"/>
      <c r="C9" s="7"/>
    </row>
    <row r="10" spans="1:3" x14ac:dyDescent="0.45">
      <c r="A10" s="5"/>
      <c r="B10" s="6"/>
      <c r="C10" s="7"/>
    </row>
    <row r="11" spans="1:3" x14ac:dyDescent="0.45">
      <c r="A11" s="5"/>
      <c r="B11" s="6"/>
      <c r="C11" s="7"/>
    </row>
    <row r="12" spans="1:3" x14ac:dyDescent="0.45">
      <c r="A12" s="5"/>
      <c r="B12" s="6"/>
      <c r="C12" s="7"/>
    </row>
    <row r="13" spans="1:3" x14ac:dyDescent="0.45">
      <c r="A13" s="5"/>
      <c r="B13" s="6"/>
      <c r="C13" s="7"/>
    </row>
    <row r="14" spans="1:3" x14ac:dyDescent="0.45">
      <c r="A14" s="5"/>
      <c r="B14" s="6"/>
      <c r="C14" s="7"/>
    </row>
    <row r="15" spans="1:3" x14ac:dyDescent="0.45">
      <c r="A15" s="5"/>
      <c r="B15" s="6"/>
      <c r="C15" s="7"/>
    </row>
    <row r="16" spans="1:3" x14ac:dyDescent="0.45">
      <c r="A16" s="5"/>
      <c r="B16" s="6"/>
      <c r="C16" s="7"/>
    </row>
    <row r="17" spans="1:3" x14ac:dyDescent="0.45">
      <c r="A17" s="5"/>
      <c r="B17" s="6"/>
      <c r="C17" s="7"/>
    </row>
    <row r="18" spans="1:3" x14ac:dyDescent="0.45">
      <c r="A18" s="5"/>
      <c r="B18" s="6"/>
      <c r="C18" s="7"/>
    </row>
    <row r="19" spans="1:3" x14ac:dyDescent="0.45">
      <c r="A19" s="5"/>
      <c r="B19" s="6"/>
      <c r="C19" s="7"/>
    </row>
    <row r="20" spans="1:3" x14ac:dyDescent="0.45">
      <c r="A20" s="5"/>
      <c r="B20" s="6"/>
      <c r="C20" s="7"/>
    </row>
    <row r="21" spans="1:3" x14ac:dyDescent="0.45">
      <c r="A21" s="8"/>
      <c r="B21" s="9"/>
      <c r="C21"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AEB7-108A-4AFB-ABB3-C1DB94981225}">
  <dimension ref="A1"/>
  <sheetViews>
    <sheetView showGridLines="0" tabSelected="1" view="pageBreakPreview" zoomScale="60" zoomScaleNormal="100" workbookViewId="0">
      <selection activeCell="X14" sqref="X14"/>
    </sheetView>
  </sheetViews>
  <sheetFormatPr defaultRowHeight="14.25" x14ac:dyDescent="0.4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E19F-3F36-4711-A157-F885784517FF}">
  <dimension ref="A1:C8"/>
  <sheetViews>
    <sheetView workbookViewId="0">
      <selection activeCell="B1" sqref="B1"/>
    </sheetView>
  </sheetViews>
  <sheetFormatPr defaultRowHeight="14.25" x14ac:dyDescent="0.45"/>
  <cols>
    <col min="1" max="1" width="12.59765625" bestFit="1" customWidth="1"/>
    <col min="2" max="2" width="19.06640625" bestFit="1" customWidth="1"/>
    <col min="3" max="3" width="13.3984375" bestFit="1" customWidth="1"/>
  </cols>
  <sheetData>
    <row r="1" spans="1:3" x14ac:dyDescent="0.45">
      <c r="A1" s="11" t="s">
        <v>34</v>
      </c>
      <c r="B1" t="s">
        <v>51</v>
      </c>
      <c r="C1" t="s">
        <v>50</v>
      </c>
    </row>
    <row r="2" spans="1:3" x14ac:dyDescent="0.45">
      <c r="A2" s="12" t="s">
        <v>14</v>
      </c>
      <c r="B2" s="13">
        <v>0.5954931844474638</v>
      </c>
      <c r="C2" s="13">
        <v>150414</v>
      </c>
    </row>
    <row r="3" spans="1:3" x14ac:dyDescent="0.45">
      <c r="A3" s="12" t="s">
        <v>25</v>
      </c>
      <c r="B3" s="13">
        <v>0.52703813280736334</v>
      </c>
      <c r="C3" s="13">
        <v>180516</v>
      </c>
    </row>
    <row r="4" spans="1:3" x14ac:dyDescent="0.45">
      <c r="A4" s="12" t="s">
        <v>19</v>
      </c>
      <c r="B4" s="13">
        <v>0.52217776409835615</v>
      </c>
      <c r="C4" s="13">
        <v>181652</v>
      </c>
    </row>
    <row r="5" spans="1:3" x14ac:dyDescent="0.45">
      <c r="A5" s="12" t="s">
        <v>30</v>
      </c>
      <c r="B5" s="13">
        <v>0.54855566845696113</v>
      </c>
      <c r="C5" s="13">
        <v>180053</v>
      </c>
    </row>
    <row r="6" spans="1:3" x14ac:dyDescent="0.45">
      <c r="A6" s="12" t="s">
        <v>22</v>
      </c>
      <c r="B6" s="13">
        <v>0.54892659787764664</v>
      </c>
      <c r="C6" s="13">
        <v>157916</v>
      </c>
    </row>
    <row r="7" spans="1:3" x14ac:dyDescent="0.45">
      <c r="A7" s="12" t="s">
        <v>49</v>
      </c>
      <c r="B7" s="13"/>
      <c r="C7" s="13"/>
    </row>
    <row r="8" spans="1:3" x14ac:dyDescent="0.45">
      <c r="A8" s="12" t="s">
        <v>35</v>
      </c>
      <c r="B8" s="13">
        <v>0.54701625462833603</v>
      </c>
      <c r="C8" s="13">
        <v>850551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PricingwiseAnalysis</vt:lpstr>
      <vt:lpstr>DeliverywiseAnalysis</vt:lpstr>
      <vt:lpstr>QualitywiseAnalysis</vt:lpstr>
      <vt:lpstr>ProcurementwiseAnalysis</vt:lpstr>
      <vt:lpstr>NegotiatedAnalysis</vt:lpstr>
      <vt:lpstr>ReliabilityAnalysis</vt:lpstr>
      <vt:lpstr>YearlywiseAnalysis</vt:lpstr>
      <vt:lpstr>CleanedDataSet</vt:lpstr>
      <vt:lpstr>Cards</vt:lpstr>
      <vt:lpstr>Slicer</vt:lpstr>
      <vt:lpstr>Dashboard</vt:lpstr>
      <vt:lpstr>Sheet1</vt:lpstr>
      <vt:lpstr>CleanedDataSet!_FilterDatabase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Nirmala Devi Suresh</dc:creator>
  <cp:lastModifiedBy>Nirmala Devi Suresh</cp:lastModifiedBy>
  <dcterms:created xsi:type="dcterms:W3CDTF">2026-07-20T12:07:11Z</dcterms:created>
  <dcterms:modified xsi:type="dcterms:W3CDTF">2026-07-30T10:42:16Z</dcterms:modified>
</cp:coreProperties>
</file>